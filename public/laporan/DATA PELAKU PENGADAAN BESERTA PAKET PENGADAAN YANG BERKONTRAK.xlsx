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131EDEF7-E065-4B50-A06C-DEC203FC8A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452" i="1" l="1"/>
  <c r="K451" i="1"/>
  <c r="K450" i="1"/>
  <c r="K449" i="1"/>
  <c r="K448" i="1"/>
  <c r="K447" i="1"/>
  <c r="K446" i="1"/>
  <c r="K44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O12" authorId="0" shapeId="0" xr:uid="{00000000-0006-0000-0000-000081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2" authorId="0" shapeId="0" xr:uid="{00000000-0006-0000-0000-000082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3" authorId="0" shapeId="0" xr:uid="{00000000-0006-0000-0000-00008D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3" authorId="0" shapeId="0" xr:uid="{00000000-0006-0000-0000-00008E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6" authorId="0" shapeId="0" xr:uid="{00000000-0006-0000-0000-0000AB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6" authorId="0" shapeId="0" xr:uid="{00000000-0006-0000-0000-0000AC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7" authorId="0" shapeId="0" xr:uid="{00000000-0006-0000-0000-0000B9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7" authorId="0" shapeId="0" xr:uid="{00000000-0006-0000-0000-0000BA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1" authorId="0" shapeId="0" xr:uid="{00000000-0006-0000-0000-0000E5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1" authorId="0" shapeId="0" xr:uid="{00000000-0006-0000-0000-0000E6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2" authorId="0" shapeId="0" xr:uid="{00000000-0006-0000-0000-0000F5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2" authorId="0" shapeId="0" xr:uid="{00000000-0006-0000-0000-0000F6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7" authorId="0" shapeId="0" xr:uid="{00000000-0006-0000-0000-000039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7" authorId="0" shapeId="0" xr:uid="{00000000-0006-0000-0000-00003A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8" authorId="0" shapeId="0" xr:uid="{00000000-0006-0000-0000-000049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8" authorId="0" shapeId="0" xr:uid="{00000000-0006-0000-0000-00004A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9" authorId="0" shapeId="0" xr:uid="{00000000-0006-0000-0000-000057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9" authorId="0" shapeId="0" xr:uid="{00000000-0006-0000-0000-000058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0" authorId="0" shapeId="0" xr:uid="{00000000-0006-0000-0000-000065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0" authorId="0" shapeId="0" xr:uid="{00000000-0006-0000-0000-000066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1" authorId="0" shapeId="0" xr:uid="{00000000-0006-0000-0000-000075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1" authorId="0" shapeId="0" xr:uid="{00000000-0006-0000-0000-000076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4" authorId="0" shapeId="0" xr:uid="{00000000-0006-0000-0000-00009F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4" authorId="0" shapeId="0" xr:uid="{00000000-0006-0000-0000-0000A0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5" authorId="0" shapeId="0" xr:uid="{00000000-0006-0000-0000-0000AD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5" authorId="0" shapeId="0" xr:uid="{00000000-0006-0000-0000-0000AE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6" authorId="0" shapeId="0" xr:uid="{00000000-0006-0000-0000-0000BD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6" authorId="0" shapeId="0" xr:uid="{00000000-0006-0000-0000-0000BE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7" authorId="0" shapeId="0" xr:uid="{00000000-0006-0000-0000-0000CD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7" authorId="0" shapeId="0" xr:uid="{00000000-0006-0000-0000-0000CE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0" authorId="0" shapeId="0" xr:uid="{00000000-0006-0000-0000-0000F9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0" authorId="0" shapeId="0" xr:uid="{00000000-0006-0000-0000-0000FA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1" authorId="0" shapeId="0" xr:uid="{00000000-0006-0000-0000-000009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1" authorId="0" shapeId="0" xr:uid="{00000000-0006-0000-0000-00000A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2" authorId="0" shapeId="0" xr:uid="{00000000-0006-0000-0000-000019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2" authorId="0" shapeId="0" xr:uid="{00000000-0006-0000-0000-00001A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3" authorId="0" shapeId="0" xr:uid="{00000000-0006-0000-0000-000029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3" authorId="0" shapeId="0" xr:uid="{00000000-0006-0000-0000-00002A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6" authorId="0" shapeId="0" xr:uid="{00000000-0006-0000-0000-000053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6" authorId="0" shapeId="0" xr:uid="{00000000-0006-0000-0000-000054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7" authorId="0" shapeId="0" xr:uid="{00000000-0006-0000-0000-00005D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7" authorId="0" shapeId="0" xr:uid="{00000000-0006-0000-0000-00005E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8" authorId="0" shapeId="0" xr:uid="{00000000-0006-0000-0000-000069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8" authorId="0" shapeId="0" xr:uid="{00000000-0006-0000-0000-00006A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9" authorId="0" shapeId="0" xr:uid="{00000000-0006-0000-0000-000078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9" authorId="0" shapeId="0" xr:uid="{00000000-0006-0000-0000-000079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50" authorId="0" shapeId="0" xr:uid="{00000000-0006-0000-0000-000087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50" authorId="0" shapeId="0" xr:uid="{00000000-0006-0000-0000-000088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51" authorId="0" shapeId="0" xr:uid="{00000000-0006-0000-0000-000094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51" authorId="0" shapeId="0" xr:uid="{00000000-0006-0000-0000-000095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55" authorId="0" shapeId="0" xr:uid="{00000000-0006-0000-0000-0000C2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55" authorId="0" shapeId="0" xr:uid="{00000000-0006-0000-0000-0000C3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56" authorId="0" shapeId="0" xr:uid="{00000000-0006-0000-0000-0000CF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56" authorId="0" shapeId="0" xr:uid="{00000000-0006-0000-0000-0000D0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57" authorId="0" shapeId="0" xr:uid="{00000000-0006-0000-0000-0000DA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57" authorId="0" shapeId="0" xr:uid="{00000000-0006-0000-0000-0000DB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58" authorId="0" shapeId="0" xr:uid="{00000000-0006-0000-0000-0000E5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58" authorId="0" shapeId="0" xr:uid="{00000000-0006-0000-0000-0000E6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59" authorId="0" shapeId="0" xr:uid="{00000000-0006-0000-0000-0000F3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59" authorId="0" shapeId="0" xr:uid="{00000000-0006-0000-0000-0000F4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60" authorId="0" shapeId="0" xr:uid="{00000000-0006-0000-0000-000001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60" authorId="0" shapeId="0" xr:uid="{00000000-0006-0000-0000-000002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63" authorId="0" shapeId="0" xr:uid="{00000000-0006-0000-0000-000029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63" authorId="0" shapeId="0" xr:uid="{00000000-0006-0000-0000-00002A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64" authorId="0" shapeId="0" xr:uid="{00000000-0006-0000-0000-000037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64" authorId="0" shapeId="0" xr:uid="{00000000-0006-0000-0000-000038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65" authorId="0" shapeId="0" xr:uid="{00000000-0006-0000-0000-000045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65" authorId="0" shapeId="0" xr:uid="{00000000-0006-0000-0000-000046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68" authorId="0" shapeId="0" xr:uid="{00000000-0006-0000-0000-000017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68" authorId="0" shapeId="0" xr:uid="{00000000-0006-0000-0000-000018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69" authorId="0" shapeId="0" xr:uid="{00000000-0006-0000-0000-000025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69" authorId="0" shapeId="0" xr:uid="{00000000-0006-0000-0000-000026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70" authorId="0" shapeId="0" xr:uid="{00000000-0006-0000-0000-000031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70" authorId="0" shapeId="0" xr:uid="{00000000-0006-0000-0000-000032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71" authorId="0" shapeId="0" xr:uid="{00000000-0006-0000-0000-00003F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71" authorId="0" shapeId="0" xr:uid="{00000000-0006-0000-0000-000040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72" authorId="0" shapeId="0" xr:uid="{00000000-0006-0000-0000-00004B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72" authorId="0" shapeId="0" xr:uid="{00000000-0006-0000-0000-00004C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73" authorId="0" shapeId="0" xr:uid="{00000000-0006-0000-0000-000057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73" authorId="0" shapeId="0" xr:uid="{00000000-0006-0000-0000-000058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76" authorId="0" shapeId="0" xr:uid="{00000000-0006-0000-0000-00006C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76" authorId="0" shapeId="0" xr:uid="{00000000-0006-0000-0000-00006D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77" authorId="0" shapeId="0" xr:uid="{00000000-0006-0000-0000-000077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77" authorId="0" shapeId="0" xr:uid="{00000000-0006-0000-0000-000078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81" authorId="0" shapeId="0" xr:uid="{00000000-0006-0000-0000-00009F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81" authorId="0" shapeId="0" xr:uid="{00000000-0006-0000-0000-0000A0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82" authorId="0" shapeId="0" xr:uid="{00000000-0006-0000-0000-0000A9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82" authorId="0" shapeId="0" xr:uid="{00000000-0006-0000-0000-0000AA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83" authorId="0" shapeId="0" xr:uid="{00000000-0006-0000-0000-0000B7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83" authorId="0" shapeId="0" xr:uid="{00000000-0006-0000-0000-0000B8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84" authorId="0" shapeId="0" xr:uid="{00000000-0006-0000-0000-0000C3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84" authorId="0" shapeId="0" xr:uid="{00000000-0006-0000-0000-0000C4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85" authorId="0" shapeId="0" xr:uid="{00000000-0006-0000-0000-0000CD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85" authorId="0" shapeId="0" xr:uid="{00000000-0006-0000-0000-0000CE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86" authorId="0" shapeId="0" xr:uid="{00000000-0006-0000-0000-0000D7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86" authorId="0" shapeId="0" xr:uid="{00000000-0006-0000-0000-0000D8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87" authorId="0" shapeId="0" xr:uid="{00000000-0006-0000-0000-0000E3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87" authorId="0" shapeId="0" xr:uid="{00000000-0006-0000-0000-0000E4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88" authorId="0" shapeId="0" xr:uid="{00000000-0006-0000-0000-0000F3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88" authorId="0" shapeId="0" xr:uid="{00000000-0006-0000-0000-0000F4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89" authorId="0" shapeId="0" xr:uid="{00000000-0006-0000-0000-000003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89" authorId="0" shapeId="0" xr:uid="{00000000-0006-0000-0000-000004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90" authorId="0" shapeId="0" xr:uid="{00000000-0006-0000-0000-000011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90" authorId="0" shapeId="0" xr:uid="{00000000-0006-0000-0000-000012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91" authorId="0" shapeId="0" xr:uid="{00000000-0006-0000-0000-00001F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91" authorId="0" shapeId="0" xr:uid="{00000000-0006-0000-0000-000020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92" authorId="0" shapeId="0" xr:uid="{00000000-0006-0000-0000-00002B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92" authorId="0" shapeId="0" xr:uid="{00000000-0006-0000-0000-00002C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93" authorId="0" shapeId="0" xr:uid="{00000000-0006-0000-0000-000037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93" authorId="0" shapeId="0" xr:uid="{00000000-0006-0000-0000-000038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94" authorId="0" shapeId="0" xr:uid="{00000000-0006-0000-0000-000047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94" authorId="0" shapeId="0" xr:uid="{00000000-0006-0000-0000-000048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95" authorId="0" shapeId="0" xr:uid="{00000000-0006-0000-0000-000055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95" authorId="0" shapeId="0" xr:uid="{00000000-0006-0000-0000-000056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96" authorId="0" shapeId="0" xr:uid="{00000000-0006-0000-0000-000063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96" authorId="0" shapeId="0" xr:uid="{00000000-0006-0000-0000-000064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97" authorId="0" shapeId="0" xr:uid="{00000000-0006-0000-0000-000073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97" authorId="0" shapeId="0" xr:uid="{00000000-0006-0000-0000-000074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98" authorId="0" shapeId="0" xr:uid="{00000000-0006-0000-0000-000083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98" authorId="0" shapeId="0" xr:uid="{00000000-0006-0000-0000-000084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99" authorId="0" shapeId="0" xr:uid="{00000000-0006-0000-0000-000091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99" authorId="0" shapeId="0" xr:uid="{00000000-0006-0000-0000-000092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00" authorId="0" shapeId="0" xr:uid="{00000000-0006-0000-0000-00009D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00" authorId="0" shapeId="0" xr:uid="{00000000-0006-0000-0000-00009E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01" authorId="0" shapeId="0" xr:uid="{00000000-0006-0000-0000-0000AB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01" authorId="0" shapeId="0" xr:uid="{00000000-0006-0000-0000-0000AC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02" authorId="0" shapeId="0" xr:uid="{00000000-0006-0000-0000-0000BB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02" authorId="0" shapeId="0" xr:uid="{00000000-0006-0000-0000-0000BC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03" authorId="0" shapeId="0" xr:uid="{00000000-0006-0000-0000-0000CB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03" authorId="0" shapeId="0" xr:uid="{00000000-0006-0000-0000-0000CC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04" authorId="0" shapeId="0" xr:uid="{00000000-0006-0000-0000-0000DB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04" authorId="0" shapeId="0" xr:uid="{00000000-0006-0000-0000-0000DC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05" authorId="0" shapeId="0" xr:uid="{00000000-0006-0000-0000-0000E9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05" authorId="0" shapeId="0" xr:uid="{00000000-0006-0000-0000-0000EA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06" authorId="0" shapeId="0" xr:uid="{00000000-0006-0000-0000-0000F7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06" authorId="0" shapeId="0" xr:uid="{00000000-0006-0000-0000-0000F8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07" authorId="0" shapeId="0" xr:uid="{00000000-0006-0000-0000-000007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07" authorId="0" shapeId="0" xr:uid="{00000000-0006-0000-0000-000008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08" authorId="0" shapeId="0" xr:uid="{00000000-0006-0000-0000-000017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08" authorId="0" shapeId="0" xr:uid="{00000000-0006-0000-0000-000018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09" authorId="0" shapeId="0" xr:uid="{00000000-0006-0000-0000-000027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09" authorId="0" shapeId="0" xr:uid="{00000000-0006-0000-0000-000028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10" authorId="0" shapeId="0" xr:uid="{00000000-0006-0000-0000-000037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10" authorId="0" shapeId="0" xr:uid="{00000000-0006-0000-0000-000038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11" authorId="0" shapeId="0" xr:uid="{00000000-0006-0000-0000-000045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11" authorId="0" shapeId="0" xr:uid="{00000000-0006-0000-0000-000046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14" authorId="0" shapeId="0" xr:uid="{00000000-0006-0000-0000-000067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14" authorId="0" shapeId="0" xr:uid="{00000000-0006-0000-0000-000068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15" authorId="0" shapeId="0" xr:uid="{00000000-0006-0000-0000-000076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15" authorId="0" shapeId="0" xr:uid="{00000000-0006-0000-0000-000077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16" authorId="0" shapeId="0" xr:uid="{00000000-0006-0000-0000-000085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16" authorId="0" shapeId="0" xr:uid="{00000000-0006-0000-0000-000086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17" authorId="0" shapeId="0" xr:uid="{00000000-0006-0000-0000-000092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17" authorId="0" shapeId="0" xr:uid="{00000000-0006-0000-0000-000093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18" authorId="0" shapeId="0" xr:uid="{00000000-0006-0000-0000-00009F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18" authorId="0" shapeId="0" xr:uid="{00000000-0006-0000-0000-0000A0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21" authorId="0" shapeId="0" xr:uid="{00000000-0006-0000-0000-0000C0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21" authorId="0" shapeId="0" xr:uid="{00000000-0006-0000-0000-0000C1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22" authorId="0" shapeId="0" xr:uid="{00000000-0006-0000-0000-0000CD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22" authorId="0" shapeId="0" xr:uid="{00000000-0006-0000-0000-0000CE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23" authorId="0" shapeId="0" xr:uid="{00000000-0006-0000-0000-0000D8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23" authorId="0" shapeId="0" xr:uid="{00000000-0006-0000-0000-0000D9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24" authorId="0" shapeId="0" xr:uid="{00000000-0006-0000-0000-0000E3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24" authorId="0" shapeId="0" xr:uid="{00000000-0006-0000-0000-0000E4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25" authorId="0" shapeId="0" xr:uid="{00000000-0006-0000-0000-0000F1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25" authorId="0" shapeId="0" xr:uid="{00000000-0006-0000-0000-0000F2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26" authorId="0" shapeId="0" xr:uid="{00000000-0006-0000-0000-0000FF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26" authorId="0" shapeId="0" xr:uid="{00000000-0006-0000-0000-000000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27" authorId="0" shapeId="0" xr:uid="{00000000-0006-0000-0000-00000F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27" authorId="0" shapeId="0" xr:uid="{00000000-0006-0000-0000-000010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37" authorId="0" shapeId="0" xr:uid="{00000000-0006-0000-0000-00003D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37" authorId="0" shapeId="0" xr:uid="{00000000-0006-0000-0000-00003E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38" authorId="0" shapeId="0" xr:uid="{00000000-0006-0000-0000-000049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38" authorId="0" shapeId="0" xr:uid="{00000000-0006-0000-0000-00004A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39" authorId="0" shapeId="0" xr:uid="{00000000-0006-0000-0000-000055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39" authorId="0" shapeId="0" xr:uid="{00000000-0006-0000-0000-000056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43" authorId="0" shapeId="0" xr:uid="{00000000-0006-0000-0000-000075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43" authorId="0" shapeId="0" xr:uid="{00000000-0006-0000-0000-000076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44" authorId="0" shapeId="0" xr:uid="{00000000-0006-0000-0000-00007F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44" authorId="0" shapeId="0" xr:uid="{00000000-0006-0000-0000-000080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45" authorId="0" shapeId="0" xr:uid="{00000000-0006-0000-0000-00008B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45" authorId="0" shapeId="0" xr:uid="{00000000-0006-0000-0000-00008C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49" authorId="0" shapeId="0" xr:uid="{00000000-0006-0000-0000-0000B5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49" authorId="0" shapeId="0" xr:uid="{00000000-0006-0000-0000-0000B6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52" authorId="0" shapeId="0" xr:uid="{00000000-0006-0000-0000-0000D5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52" authorId="0" shapeId="0" xr:uid="{00000000-0006-0000-0000-0000D6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53" authorId="0" shapeId="0" xr:uid="{00000000-0006-0000-0000-0000E1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53" authorId="0" shapeId="0" xr:uid="{00000000-0006-0000-0000-0000E2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54" authorId="0" shapeId="0" xr:uid="{00000000-0006-0000-0000-0000F1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54" authorId="0" shapeId="0" xr:uid="{00000000-0006-0000-0000-0000F2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55" authorId="0" shapeId="0" xr:uid="{00000000-0006-0000-0000-000001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55" authorId="0" shapeId="0" xr:uid="{00000000-0006-0000-0000-000002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56" authorId="0" shapeId="0" xr:uid="{00000000-0006-0000-0000-00000F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56" authorId="0" shapeId="0" xr:uid="{00000000-0006-0000-0000-000010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57" authorId="0" shapeId="0" xr:uid="{00000000-0006-0000-0000-00001D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57" authorId="0" shapeId="0" xr:uid="{00000000-0006-0000-0000-00001E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60" authorId="0" shapeId="0" xr:uid="{00000000-0006-0000-0000-000045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60" authorId="0" shapeId="0" xr:uid="{00000000-0006-0000-0000-000046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61" authorId="0" shapeId="0" xr:uid="{00000000-0006-0000-0000-000053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61" authorId="0" shapeId="0" xr:uid="{00000000-0006-0000-0000-000054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62" authorId="0" shapeId="0" xr:uid="{00000000-0006-0000-0000-000061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62" authorId="0" shapeId="0" xr:uid="{00000000-0006-0000-0000-000062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63" authorId="0" shapeId="0" xr:uid="{00000000-0006-0000-0000-000071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63" authorId="0" shapeId="0" xr:uid="{00000000-0006-0000-0000-000072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64" authorId="0" shapeId="0" xr:uid="{00000000-0006-0000-0000-000081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64" authorId="0" shapeId="0" xr:uid="{00000000-0006-0000-0000-000082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65" authorId="0" shapeId="0" xr:uid="{00000000-0006-0000-0000-00008F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65" authorId="0" shapeId="0" xr:uid="{00000000-0006-0000-0000-000090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66" authorId="0" shapeId="0" xr:uid="{00000000-0006-0000-0000-00009B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66" authorId="0" shapeId="0" xr:uid="{00000000-0006-0000-0000-00009C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67" authorId="0" shapeId="0" xr:uid="{00000000-0006-0000-0000-0000A9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67" authorId="0" shapeId="0" xr:uid="{00000000-0006-0000-0000-0000AA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68" authorId="0" shapeId="0" xr:uid="{00000000-0006-0000-0000-0000B9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68" authorId="0" shapeId="0" xr:uid="{00000000-0006-0000-0000-0000BA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69" authorId="0" shapeId="0" xr:uid="{00000000-0006-0000-0000-0000C9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69" authorId="0" shapeId="0" xr:uid="{00000000-0006-0000-0000-0000CA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70" authorId="0" shapeId="0" xr:uid="{00000000-0006-0000-0000-0000D9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70" authorId="0" shapeId="0" xr:uid="{00000000-0006-0000-0000-0000DA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71" authorId="0" shapeId="0" xr:uid="{00000000-0006-0000-0000-0000E7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71" authorId="0" shapeId="0" xr:uid="{00000000-0006-0000-0000-0000E8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72" authorId="0" shapeId="0" xr:uid="{00000000-0006-0000-0000-0000F5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72" authorId="0" shapeId="0" xr:uid="{00000000-0006-0000-0000-0000F6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73" authorId="0" shapeId="0" xr:uid="{00000000-0006-0000-0000-000005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73" authorId="0" shapeId="0" xr:uid="{00000000-0006-0000-0000-000006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74" authorId="0" shapeId="0" xr:uid="{00000000-0006-0000-0000-000015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74" authorId="0" shapeId="0" xr:uid="{00000000-0006-0000-0000-000016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75" authorId="0" shapeId="0" xr:uid="{00000000-0006-0000-0000-000025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75" authorId="0" shapeId="0" xr:uid="{00000000-0006-0000-0000-000026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76" authorId="0" shapeId="0" xr:uid="{00000000-0006-0000-0000-000035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76" authorId="0" shapeId="0" xr:uid="{00000000-0006-0000-0000-000036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77" authorId="0" shapeId="0" xr:uid="{00000000-0006-0000-0000-000043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77" authorId="0" shapeId="0" xr:uid="{00000000-0006-0000-0000-000044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78" authorId="0" shapeId="0" xr:uid="{00000000-0006-0000-0000-000051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78" authorId="0" shapeId="0" xr:uid="{00000000-0006-0000-0000-000052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79" authorId="0" shapeId="0" xr:uid="{00000000-0006-0000-0000-00005B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79" authorId="0" shapeId="0" xr:uid="{00000000-0006-0000-0000-00005C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80" authorId="0" shapeId="0" xr:uid="{00000000-0006-0000-0000-000065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80" authorId="0" shapeId="0" xr:uid="{00000000-0006-0000-0000-000066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81" authorId="0" shapeId="0" xr:uid="{00000000-0006-0000-0000-000074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81" authorId="0" shapeId="0" xr:uid="{00000000-0006-0000-0000-000075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82" authorId="0" shapeId="0" xr:uid="{00000000-0006-0000-0000-000083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82" authorId="0" shapeId="0" xr:uid="{00000000-0006-0000-0000-000084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86" authorId="0" shapeId="0" xr:uid="{00000000-0006-0000-0000-0000B3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86" authorId="0" shapeId="0" xr:uid="{00000000-0006-0000-0000-0000B4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87" authorId="0" shapeId="0" xr:uid="{00000000-0006-0000-0000-0000BE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87" authorId="0" shapeId="0" xr:uid="{00000000-0006-0000-0000-0000BF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91" authorId="0" shapeId="0" xr:uid="{00000000-0006-0000-0000-0000EF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91" authorId="0" shapeId="0" xr:uid="{00000000-0006-0000-0000-0000F0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92" authorId="0" shapeId="0" xr:uid="{00000000-0006-0000-0000-0000FD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92" authorId="0" shapeId="0" xr:uid="{00000000-0006-0000-0000-0000FE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93" authorId="0" shapeId="0" xr:uid="{00000000-0006-0000-0000-00000D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93" authorId="0" shapeId="0" xr:uid="{00000000-0006-0000-0000-00000E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94" authorId="0" shapeId="0" xr:uid="{00000000-0006-0000-0000-00001B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94" authorId="0" shapeId="0" xr:uid="{00000000-0006-0000-0000-00001C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95" authorId="0" shapeId="0" xr:uid="{00000000-0006-0000-0000-000027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95" authorId="0" shapeId="0" xr:uid="{00000000-0006-0000-0000-000028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96" authorId="0" shapeId="0" xr:uid="{00000000-0006-0000-0000-000035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96" authorId="0" shapeId="0" xr:uid="{00000000-0006-0000-0000-000036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97" authorId="0" shapeId="0" xr:uid="{00000000-0006-0000-0000-000043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97" authorId="0" shapeId="0" xr:uid="{00000000-0006-0000-0000-000044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98" authorId="0" shapeId="0" xr:uid="{00000000-0006-0000-0000-00004F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98" authorId="0" shapeId="0" xr:uid="{00000000-0006-0000-0000-000050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199" authorId="0" shapeId="0" xr:uid="{00000000-0006-0000-0000-000009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199" authorId="0" shapeId="0" xr:uid="{00000000-0006-0000-0000-00000A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00" authorId="0" shapeId="0" xr:uid="{00000000-0006-0000-0000-000015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00" authorId="0" shapeId="0" xr:uid="{00000000-0006-0000-0000-000016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01" authorId="0" shapeId="0" xr:uid="{00000000-0006-0000-0000-000023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01" authorId="0" shapeId="0" xr:uid="{00000000-0006-0000-0000-000024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19" authorId="0" shapeId="0" xr:uid="{00000000-0006-0000-0000-0000DF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19" authorId="0" shapeId="0" xr:uid="{00000000-0006-0000-0000-0000E0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20" authorId="0" shapeId="0" xr:uid="{00000000-0006-0000-0000-0000EF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20" authorId="0" shapeId="0" xr:uid="{00000000-0006-0000-0000-0000F0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21" authorId="0" shapeId="0" xr:uid="{00000000-0006-0000-0000-0000FF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21" authorId="0" shapeId="0" xr:uid="{00000000-0006-0000-0000-000000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22" authorId="0" shapeId="0" xr:uid="{00000000-0006-0000-0000-00000D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22" authorId="0" shapeId="0" xr:uid="{00000000-0006-0000-0000-00000E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23" authorId="0" shapeId="0" xr:uid="{00000000-0006-0000-0000-00001B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23" authorId="0" shapeId="0" xr:uid="{00000000-0006-0000-0000-00001C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24" authorId="0" shapeId="0" xr:uid="{00000000-0006-0000-0000-000029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24" authorId="0" shapeId="0" xr:uid="{00000000-0006-0000-0000-00002A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25" authorId="0" shapeId="0" xr:uid="{00000000-0006-0000-0000-000035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25" authorId="0" shapeId="0" xr:uid="{00000000-0006-0000-0000-000036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26" authorId="0" shapeId="0" xr:uid="{00000000-0006-0000-0000-000043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26" authorId="0" shapeId="0" xr:uid="{00000000-0006-0000-0000-000044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27" authorId="0" shapeId="0" xr:uid="{00000000-0006-0000-0000-000051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27" authorId="0" shapeId="0" xr:uid="{00000000-0006-0000-0000-000052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28" authorId="0" shapeId="0" xr:uid="{00000000-0006-0000-0000-00005F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28" authorId="0" shapeId="0" xr:uid="{00000000-0006-0000-0000-000060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29" authorId="0" shapeId="0" xr:uid="{00000000-0006-0000-0000-00006F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29" authorId="0" shapeId="0" xr:uid="{00000000-0006-0000-0000-000070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30" authorId="0" shapeId="0" xr:uid="{00000000-0006-0000-0000-00007F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30" authorId="0" shapeId="0" xr:uid="{00000000-0006-0000-0000-000080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31" authorId="0" shapeId="0" xr:uid="{00000000-0006-0000-0000-00008D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31" authorId="0" shapeId="0" xr:uid="{00000000-0006-0000-0000-00008E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32" authorId="0" shapeId="0" xr:uid="{00000000-0006-0000-0000-000099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32" authorId="0" shapeId="0" xr:uid="{00000000-0006-0000-0000-00009A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33" authorId="0" shapeId="0" xr:uid="{00000000-0006-0000-0000-0000A7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33" authorId="0" shapeId="0" xr:uid="{00000000-0006-0000-0000-0000A8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34" authorId="0" shapeId="0" xr:uid="{00000000-0006-0000-0000-0000B7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34" authorId="0" shapeId="0" xr:uid="{00000000-0006-0000-0000-0000B8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35" authorId="0" shapeId="0" xr:uid="{00000000-0006-0000-0000-0000C7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35" authorId="0" shapeId="0" xr:uid="{00000000-0006-0000-0000-0000C8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36" authorId="0" shapeId="0" xr:uid="{00000000-0006-0000-0000-0000D7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36" authorId="0" shapeId="0" xr:uid="{00000000-0006-0000-0000-0000D8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37" authorId="0" shapeId="0" xr:uid="{00000000-0006-0000-0000-0000E5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37" authorId="0" shapeId="0" xr:uid="{00000000-0006-0000-0000-0000E6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38" authorId="0" shapeId="0" xr:uid="{00000000-0006-0000-0000-0000F3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38" authorId="0" shapeId="0" xr:uid="{00000000-0006-0000-0000-0000F4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39" authorId="0" shapeId="0" xr:uid="{00000000-0006-0000-0000-000003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39" authorId="0" shapeId="0" xr:uid="{00000000-0006-0000-0000-000004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40" authorId="0" shapeId="0" xr:uid="{00000000-0006-0000-0000-000013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40" authorId="0" shapeId="0" xr:uid="{00000000-0006-0000-0000-000014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41" authorId="0" shapeId="0" xr:uid="{00000000-0006-0000-0000-000023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41" authorId="0" shapeId="0" xr:uid="{00000000-0006-0000-0000-000024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42" authorId="0" shapeId="0" xr:uid="{00000000-0006-0000-0000-000033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42" authorId="0" shapeId="0" xr:uid="{00000000-0006-0000-0000-000034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43" authorId="0" shapeId="0" xr:uid="{00000000-0006-0000-0000-000041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43" authorId="0" shapeId="0" xr:uid="{00000000-0006-0000-0000-000042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44" authorId="0" shapeId="0" xr:uid="{00000000-0006-0000-0000-00004F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44" authorId="0" shapeId="0" xr:uid="{00000000-0006-0000-0000-000050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45" authorId="0" shapeId="0" xr:uid="{00000000-0006-0000-0000-000059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45" authorId="0" shapeId="0" xr:uid="{00000000-0006-0000-0000-00005A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46" authorId="0" shapeId="0" xr:uid="{00000000-0006-0000-0000-000063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46" authorId="0" shapeId="0" xr:uid="{00000000-0006-0000-0000-000064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47" authorId="0" shapeId="0" xr:uid="{00000000-0006-0000-0000-000072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47" authorId="0" shapeId="0" xr:uid="{00000000-0006-0000-0000-000073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48" authorId="0" shapeId="0" xr:uid="{00000000-0006-0000-0000-000081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48" authorId="0" shapeId="0" xr:uid="{00000000-0006-0000-0000-000082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49" authorId="0" shapeId="0" xr:uid="{00000000-0006-0000-0000-000090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49" authorId="0" shapeId="0" xr:uid="{00000000-0006-0000-0000-000091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50" authorId="0" shapeId="0" xr:uid="{00000000-0006-0000-0000-00009D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50" authorId="0" shapeId="0" xr:uid="{00000000-0006-0000-0000-00009E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51" authorId="0" shapeId="0" xr:uid="{00000000-0006-0000-0000-0000A8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51" authorId="0" shapeId="0" xr:uid="{00000000-0006-0000-0000-0000A9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52" authorId="0" shapeId="0" xr:uid="{00000000-0006-0000-0000-0000B1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52" authorId="0" shapeId="0" xr:uid="{00000000-0006-0000-0000-0000B2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53" authorId="0" shapeId="0" xr:uid="{00000000-0006-0000-0000-0000BC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53" authorId="0" shapeId="0" xr:uid="{00000000-0006-0000-0000-0000BD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54" authorId="0" shapeId="0" xr:uid="{00000000-0006-0000-0000-0000CB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54" authorId="0" shapeId="0" xr:uid="{00000000-0006-0000-0000-0000CC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55" authorId="0" shapeId="0" xr:uid="{00000000-0006-0000-0000-0000D6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55" authorId="0" shapeId="0" xr:uid="{00000000-0006-0000-0000-0000D7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56" authorId="0" shapeId="0" xr:uid="{00000000-0006-0000-0000-0000E1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56" authorId="0" shapeId="0" xr:uid="{00000000-0006-0000-0000-0000E2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57" authorId="0" shapeId="0" xr:uid="{00000000-0006-0000-0000-0000ED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57" authorId="0" shapeId="0" xr:uid="{00000000-0006-0000-0000-0000EE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58" authorId="0" shapeId="0" xr:uid="{00000000-0006-0000-0000-0000FB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58" authorId="0" shapeId="0" xr:uid="{00000000-0006-0000-0000-0000FC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59" authorId="0" shapeId="0" xr:uid="{00000000-0006-0000-0000-00000B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59" authorId="0" shapeId="0" xr:uid="{00000000-0006-0000-0000-00000C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60" authorId="0" shapeId="0" xr:uid="{00000000-0006-0000-0000-000019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60" authorId="0" shapeId="0" xr:uid="{00000000-0006-0000-0000-00001A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61" authorId="0" shapeId="0" xr:uid="{00000000-0006-0000-0000-000025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61" authorId="0" shapeId="0" xr:uid="{00000000-0006-0000-0000-000026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62" authorId="0" shapeId="0" xr:uid="{00000000-0006-0000-0000-000033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62" authorId="0" shapeId="0" xr:uid="{00000000-0006-0000-0000-000034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63" authorId="0" shapeId="0" xr:uid="{00000000-0006-0000-0000-000041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63" authorId="0" shapeId="0" xr:uid="{00000000-0006-0000-0000-000042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64" authorId="0" shapeId="0" xr:uid="{00000000-0006-0000-0000-00004D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64" authorId="0" shapeId="0" xr:uid="{00000000-0006-0000-0000-00004E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65" authorId="0" shapeId="0" xr:uid="{00000000-0006-0000-0000-000007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65" authorId="0" shapeId="0" xr:uid="{00000000-0006-0000-0000-000008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66" authorId="0" shapeId="0" xr:uid="{00000000-0006-0000-0000-000013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66" authorId="0" shapeId="0" xr:uid="{00000000-0006-0000-0000-000014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67" authorId="0" shapeId="0" xr:uid="{00000000-0006-0000-0000-000021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67" authorId="0" shapeId="0" xr:uid="{00000000-0006-0000-0000-000022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68" authorId="0" shapeId="0" xr:uid="{00000000-0006-0000-0000-00002F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68" authorId="0" shapeId="0" xr:uid="{00000000-0006-0000-0000-000030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69" authorId="0" shapeId="0" xr:uid="{00000000-0006-0000-0000-00003B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69" authorId="0" shapeId="0" xr:uid="{00000000-0006-0000-0000-00003C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70" authorId="0" shapeId="0" xr:uid="{00000000-0006-0000-0000-000047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70" authorId="0" shapeId="0" xr:uid="{00000000-0006-0000-0000-000048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71" authorId="0" shapeId="0" xr:uid="{00000000-0006-0000-0000-000053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71" authorId="0" shapeId="0" xr:uid="{00000000-0006-0000-0000-000054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72" authorId="0" shapeId="0" xr:uid="{00000000-0006-0000-0000-00005D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72" authorId="0" shapeId="0" xr:uid="{00000000-0006-0000-0000-00005E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73" authorId="0" shapeId="0" xr:uid="{00000000-0006-0000-0000-000063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73" authorId="0" shapeId="0" xr:uid="{00000000-0006-0000-0000-000064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74" authorId="0" shapeId="0" xr:uid="{00000000-0006-0000-0000-00006A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74" authorId="0" shapeId="0" xr:uid="{00000000-0006-0000-0000-00006B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75" authorId="0" shapeId="0" xr:uid="{00000000-0006-0000-0000-000073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75" authorId="0" shapeId="0" xr:uid="{00000000-0006-0000-0000-000074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76" authorId="0" shapeId="0" xr:uid="{00000000-0006-0000-0000-00007D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76" authorId="0" shapeId="0" xr:uid="{00000000-0006-0000-0000-00007E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77" authorId="0" shapeId="0" xr:uid="{00000000-0006-0000-0000-000089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77" authorId="0" shapeId="0" xr:uid="{00000000-0006-0000-0000-00008A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78" authorId="0" shapeId="0" xr:uid="{00000000-0006-0000-0000-000095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78" authorId="0" shapeId="0" xr:uid="{00000000-0006-0000-0000-000096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79" authorId="0" shapeId="0" xr:uid="{00000000-0006-0000-0000-00009D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79" authorId="0" shapeId="0" xr:uid="{00000000-0006-0000-0000-00009E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80" authorId="0" shapeId="0" xr:uid="{00000000-0006-0000-0000-0000A7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80" authorId="0" shapeId="0" xr:uid="{00000000-0006-0000-0000-0000A8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81" authorId="0" shapeId="0" xr:uid="{00000000-0006-0000-0000-0000B3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81" authorId="0" shapeId="0" xr:uid="{00000000-0006-0000-0000-0000B4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82" authorId="0" shapeId="0" xr:uid="{00000000-0006-0000-0000-0000C1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82" authorId="0" shapeId="0" xr:uid="{00000000-0006-0000-0000-0000C2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83" authorId="0" shapeId="0" xr:uid="{00000000-0006-0000-0000-0000CB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83" authorId="0" shapeId="0" xr:uid="{00000000-0006-0000-0000-0000CC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84" authorId="0" shapeId="0" xr:uid="{00000000-0006-0000-0000-0000D3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84" authorId="0" shapeId="0" xr:uid="{00000000-0006-0000-0000-0000D4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85" authorId="0" shapeId="0" xr:uid="{00000000-0006-0000-0000-0000DD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85" authorId="0" shapeId="0" xr:uid="{00000000-0006-0000-0000-0000DE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86" authorId="0" shapeId="0" xr:uid="{00000000-0006-0000-0000-0000ED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86" authorId="0" shapeId="0" xr:uid="{00000000-0006-0000-0000-0000EE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87" authorId="0" shapeId="0" xr:uid="{00000000-0006-0000-0000-0000FD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87" authorId="0" shapeId="0" xr:uid="{00000000-0006-0000-0000-0000FE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88" authorId="0" shapeId="0" xr:uid="{00000000-0006-0000-0000-00000B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88" authorId="0" shapeId="0" xr:uid="{00000000-0006-0000-0000-00000C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89" authorId="0" shapeId="0" xr:uid="{00000000-0006-0000-0000-000019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89" authorId="0" shapeId="0" xr:uid="{00000000-0006-0000-0000-00001A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90" authorId="0" shapeId="0" xr:uid="{00000000-0006-0000-0000-000027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90" authorId="0" shapeId="0" xr:uid="{00000000-0006-0000-0000-000028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91" authorId="0" shapeId="0" xr:uid="{00000000-0006-0000-0000-000033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91" authorId="0" shapeId="0" xr:uid="{00000000-0006-0000-0000-000034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92" authorId="0" shapeId="0" xr:uid="{00000000-0006-0000-0000-000041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92" authorId="0" shapeId="0" xr:uid="{00000000-0006-0000-0000-000042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93" authorId="0" shapeId="0" xr:uid="{00000000-0006-0000-0000-00004F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93" authorId="0" shapeId="0" xr:uid="{00000000-0006-0000-0000-000050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94" authorId="0" shapeId="0" xr:uid="{00000000-0006-0000-0000-00005D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94" authorId="0" shapeId="0" xr:uid="{00000000-0006-0000-0000-00005E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95" authorId="0" shapeId="0" xr:uid="{00000000-0006-0000-0000-00006D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95" authorId="0" shapeId="0" xr:uid="{00000000-0006-0000-0000-00006E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96" authorId="0" shapeId="0" xr:uid="{00000000-0006-0000-0000-00007D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96" authorId="0" shapeId="0" xr:uid="{00000000-0006-0000-0000-00007E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97" authorId="0" shapeId="0" xr:uid="{00000000-0006-0000-0000-00008B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97" authorId="0" shapeId="0" xr:uid="{00000000-0006-0000-0000-00008C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98" authorId="0" shapeId="0" xr:uid="{00000000-0006-0000-0000-000097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98" authorId="0" shapeId="0" xr:uid="{00000000-0006-0000-0000-000098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299" authorId="0" shapeId="0" xr:uid="{00000000-0006-0000-0000-0000A5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299" authorId="0" shapeId="0" xr:uid="{00000000-0006-0000-0000-0000A6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00" authorId="0" shapeId="0" xr:uid="{00000000-0006-0000-0000-0000B5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00" authorId="0" shapeId="0" xr:uid="{00000000-0006-0000-0000-0000B6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01" authorId="0" shapeId="0" xr:uid="{00000000-0006-0000-0000-0000C5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01" authorId="0" shapeId="0" xr:uid="{00000000-0006-0000-0000-0000C6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02" authorId="0" shapeId="0" xr:uid="{00000000-0006-0000-0000-0000D5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02" authorId="0" shapeId="0" xr:uid="{00000000-0006-0000-0000-0000D6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03" authorId="0" shapeId="0" xr:uid="{00000000-0006-0000-0000-0000E3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03" authorId="0" shapeId="0" xr:uid="{00000000-0006-0000-0000-0000E4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04" authorId="0" shapeId="0" xr:uid="{00000000-0006-0000-0000-0000F1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04" authorId="0" shapeId="0" xr:uid="{00000000-0006-0000-0000-0000F2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05" authorId="0" shapeId="0" xr:uid="{00000000-0006-0000-0000-000001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05" authorId="0" shapeId="0" xr:uid="{00000000-0006-0000-0000-000002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06" authorId="0" shapeId="0" xr:uid="{00000000-0006-0000-0000-000011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06" authorId="0" shapeId="0" xr:uid="{00000000-0006-0000-0000-000012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07" authorId="0" shapeId="0" xr:uid="{00000000-0006-0000-0000-000021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07" authorId="0" shapeId="0" xr:uid="{00000000-0006-0000-0000-000022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08" authorId="0" shapeId="0" xr:uid="{00000000-0006-0000-0000-000031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08" authorId="0" shapeId="0" xr:uid="{00000000-0006-0000-0000-000032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09" authorId="0" shapeId="0" xr:uid="{00000000-0006-0000-0000-00003F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09" authorId="0" shapeId="0" xr:uid="{00000000-0006-0000-0000-000040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10" authorId="0" shapeId="0" xr:uid="{00000000-0006-0000-0000-00004D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10" authorId="0" shapeId="0" xr:uid="{00000000-0006-0000-0000-00004E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11" authorId="0" shapeId="0" xr:uid="{00000000-0006-0000-0000-000057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11" authorId="0" shapeId="0" xr:uid="{00000000-0006-0000-0000-000058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12" authorId="0" shapeId="0" xr:uid="{00000000-0006-0000-0000-000061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12" authorId="0" shapeId="0" xr:uid="{00000000-0006-0000-0000-000062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13" authorId="0" shapeId="0" xr:uid="{00000000-0006-0000-0000-000070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13" authorId="0" shapeId="0" xr:uid="{00000000-0006-0000-0000-000071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14" authorId="0" shapeId="0" xr:uid="{00000000-0006-0000-0000-00007F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14" authorId="0" shapeId="0" xr:uid="{00000000-0006-0000-0000-000080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15" authorId="0" shapeId="0" xr:uid="{00000000-0006-0000-0000-00008E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15" authorId="0" shapeId="0" xr:uid="{00000000-0006-0000-0000-00008F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16" authorId="0" shapeId="0" xr:uid="{00000000-0006-0000-0000-00009B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16" authorId="0" shapeId="0" xr:uid="{00000000-0006-0000-0000-00009C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17" authorId="0" shapeId="0" xr:uid="{00000000-0006-0000-0000-0000A6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17" authorId="0" shapeId="0" xr:uid="{00000000-0006-0000-0000-0000A7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18" authorId="0" shapeId="0" xr:uid="{00000000-0006-0000-0000-0000AF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18" authorId="0" shapeId="0" xr:uid="{00000000-0006-0000-0000-0000B0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19" authorId="0" shapeId="0" xr:uid="{00000000-0006-0000-0000-0000BA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19" authorId="0" shapeId="0" xr:uid="{00000000-0006-0000-0000-0000BB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20" authorId="0" shapeId="0" xr:uid="{00000000-0006-0000-0000-0000C9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20" authorId="0" shapeId="0" xr:uid="{00000000-0006-0000-0000-0000CA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21" authorId="0" shapeId="0" xr:uid="{00000000-0006-0000-0000-0000D4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21" authorId="0" shapeId="0" xr:uid="{00000000-0006-0000-0000-0000D5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22" authorId="0" shapeId="0" xr:uid="{00000000-0006-0000-0000-0000DF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22" authorId="0" shapeId="0" xr:uid="{00000000-0006-0000-0000-0000E0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23" authorId="0" shapeId="0" xr:uid="{00000000-0006-0000-0000-0000EB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23" authorId="0" shapeId="0" xr:uid="{00000000-0006-0000-0000-0000EC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24" authorId="0" shapeId="0" xr:uid="{00000000-0006-0000-0000-0000F9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24" authorId="0" shapeId="0" xr:uid="{00000000-0006-0000-0000-0000FA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25" authorId="0" shapeId="0" xr:uid="{00000000-0006-0000-0000-000009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25" authorId="0" shapeId="0" xr:uid="{00000000-0006-0000-0000-00000A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26" authorId="0" shapeId="0" xr:uid="{00000000-0006-0000-0000-000017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26" authorId="0" shapeId="0" xr:uid="{00000000-0006-0000-0000-000018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27" authorId="0" shapeId="0" xr:uid="{00000000-0006-0000-0000-000023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27" authorId="0" shapeId="0" xr:uid="{00000000-0006-0000-0000-000024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28" authorId="0" shapeId="0" xr:uid="{00000000-0006-0000-0000-000031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28" authorId="0" shapeId="0" xr:uid="{00000000-0006-0000-0000-000032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29" authorId="0" shapeId="0" xr:uid="{00000000-0006-0000-0000-00003F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29" authorId="0" shapeId="0" xr:uid="{00000000-0006-0000-0000-000040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30" authorId="0" shapeId="0" xr:uid="{00000000-0006-0000-0000-00004B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30" authorId="0" shapeId="0" xr:uid="{00000000-0006-0000-0000-00004C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31" authorId="0" shapeId="0" xr:uid="{00000000-0006-0000-0000-000005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31" authorId="0" shapeId="0" xr:uid="{00000000-0006-0000-0000-000006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32" authorId="0" shapeId="0" xr:uid="{00000000-0006-0000-0000-000011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32" authorId="0" shapeId="0" xr:uid="{00000000-0006-0000-0000-000012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33" authorId="0" shapeId="0" xr:uid="{00000000-0006-0000-0000-00001F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33" authorId="0" shapeId="0" xr:uid="{00000000-0006-0000-0000-000020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34" authorId="0" shapeId="0" xr:uid="{00000000-0006-0000-0000-00002D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34" authorId="0" shapeId="0" xr:uid="{00000000-0006-0000-0000-00002E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35" authorId="0" shapeId="0" xr:uid="{00000000-0006-0000-0000-000039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35" authorId="0" shapeId="0" xr:uid="{00000000-0006-0000-0000-00003A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36" authorId="0" shapeId="0" xr:uid="{00000000-0006-0000-0000-000045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36" authorId="0" shapeId="0" xr:uid="{00000000-0006-0000-0000-000046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37" authorId="0" shapeId="0" xr:uid="{00000000-0006-0000-0000-000051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37" authorId="0" shapeId="0" xr:uid="{00000000-0006-0000-0000-000052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38" authorId="0" shapeId="0" xr:uid="{00000000-0006-0000-0000-00005B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38" authorId="0" shapeId="0" xr:uid="{00000000-0006-0000-0000-00005C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39" authorId="0" shapeId="0" xr:uid="{00000000-0006-0000-0000-000061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39" authorId="0" shapeId="0" xr:uid="{00000000-0006-0000-0000-000062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40" authorId="0" shapeId="0" xr:uid="{00000000-0006-0000-0000-000068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40" authorId="0" shapeId="0" xr:uid="{00000000-0006-0000-0000-000069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41" authorId="0" shapeId="0" xr:uid="{00000000-0006-0000-0000-000071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41" authorId="0" shapeId="0" xr:uid="{00000000-0006-0000-0000-000072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42" authorId="0" shapeId="0" xr:uid="{00000000-0006-0000-0000-00007B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42" authorId="0" shapeId="0" xr:uid="{00000000-0006-0000-0000-00007C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43" authorId="0" shapeId="0" xr:uid="{00000000-0006-0000-0000-000087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43" authorId="0" shapeId="0" xr:uid="{00000000-0006-0000-0000-000088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44" authorId="0" shapeId="0" xr:uid="{00000000-0006-0000-0000-000093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44" authorId="0" shapeId="0" xr:uid="{00000000-0006-0000-0000-000094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45" authorId="0" shapeId="0" xr:uid="{00000000-0006-0000-0000-00009B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45" authorId="0" shapeId="0" xr:uid="{00000000-0006-0000-0000-00009C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46" authorId="0" shapeId="0" xr:uid="{00000000-0006-0000-0000-0000A5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46" authorId="0" shapeId="0" xr:uid="{00000000-0006-0000-0000-0000A6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47" authorId="0" shapeId="0" xr:uid="{00000000-0006-0000-0000-0000B1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47" authorId="0" shapeId="0" xr:uid="{00000000-0006-0000-0000-0000B2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48" authorId="0" shapeId="0" xr:uid="{00000000-0006-0000-0000-0000BF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48" authorId="0" shapeId="0" xr:uid="{00000000-0006-0000-0000-0000C0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49" authorId="0" shapeId="0" xr:uid="{00000000-0006-0000-0000-0000C9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49" authorId="0" shapeId="0" xr:uid="{00000000-0006-0000-0000-0000CA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50" authorId="0" shapeId="0" xr:uid="{00000000-0006-0000-0000-0000D1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50" authorId="0" shapeId="0" xr:uid="{00000000-0006-0000-0000-0000D2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51" authorId="0" shapeId="0" xr:uid="{00000000-0006-0000-0000-0000DB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51" authorId="0" shapeId="0" xr:uid="{00000000-0006-0000-0000-0000DC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52" authorId="0" shapeId="0" xr:uid="{00000000-0006-0000-0000-0000EB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52" authorId="0" shapeId="0" xr:uid="{00000000-0006-0000-0000-0000EC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53" authorId="0" shapeId="0" xr:uid="{00000000-0006-0000-0000-0000FB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53" authorId="0" shapeId="0" xr:uid="{00000000-0006-0000-0000-0000FC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54" authorId="0" shapeId="0" xr:uid="{00000000-0006-0000-0000-000009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54" authorId="0" shapeId="0" xr:uid="{00000000-0006-0000-0000-00000A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55" authorId="0" shapeId="0" xr:uid="{00000000-0006-0000-0000-000017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55" authorId="0" shapeId="0" xr:uid="{00000000-0006-0000-0000-000018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56" authorId="0" shapeId="0" xr:uid="{00000000-0006-0000-0000-000025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56" authorId="0" shapeId="0" xr:uid="{00000000-0006-0000-0000-000026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57" authorId="0" shapeId="0" xr:uid="{00000000-0006-0000-0000-000031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57" authorId="0" shapeId="0" xr:uid="{00000000-0006-0000-0000-000032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58" authorId="0" shapeId="0" xr:uid="{00000000-0006-0000-0000-00003F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58" authorId="0" shapeId="0" xr:uid="{00000000-0006-0000-0000-000040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59" authorId="0" shapeId="0" xr:uid="{00000000-0006-0000-0000-00004D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59" authorId="0" shapeId="0" xr:uid="{00000000-0006-0000-0000-00004E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60" authorId="0" shapeId="0" xr:uid="{00000000-0006-0000-0000-00005B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60" authorId="0" shapeId="0" xr:uid="{00000000-0006-0000-0000-00005C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61" authorId="0" shapeId="0" xr:uid="{00000000-0006-0000-0000-00006B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61" authorId="0" shapeId="0" xr:uid="{00000000-0006-0000-0000-00006C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62" authorId="0" shapeId="0" xr:uid="{00000000-0006-0000-0000-00007B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62" authorId="0" shapeId="0" xr:uid="{00000000-0006-0000-0000-00007C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63" authorId="0" shapeId="0" xr:uid="{00000000-0006-0000-0000-000089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63" authorId="0" shapeId="0" xr:uid="{00000000-0006-0000-0000-00008A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64" authorId="0" shapeId="0" xr:uid="{00000000-0006-0000-0000-000095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64" authorId="0" shapeId="0" xr:uid="{00000000-0006-0000-0000-000096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65" authorId="0" shapeId="0" xr:uid="{00000000-0006-0000-0000-0000A3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65" authorId="0" shapeId="0" xr:uid="{00000000-0006-0000-0000-0000A4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66" authorId="0" shapeId="0" xr:uid="{00000000-0006-0000-0000-0000B3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66" authorId="0" shapeId="0" xr:uid="{00000000-0006-0000-0000-0000B4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67" authorId="0" shapeId="0" xr:uid="{00000000-0006-0000-0000-0000C3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67" authorId="0" shapeId="0" xr:uid="{00000000-0006-0000-0000-0000C4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68" authorId="0" shapeId="0" xr:uid="{00000000-0006-0000-0000-0000D3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68" authorId="0" shapeId="0" xr:uid="{00000000-0006-0000-0000-0000D4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69" authorId="0" shapeId="0" xr:uid="{00000000-0006-0000-0000-0000E1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69" authorId="0" shapeId="0" xr:uid="{00000000-0006-0000-0000-0000E2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70" authorId="0" shapeId="0" xr:uid="{00000000-0006-0000-0000-0000EF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70" authorId="0" shapeId="0" xr:uid="{00000000-0006-0000-0000-0000F0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71" authorId="0" shapeId="0" xr:uid="{00000000-0006-0000-0000-0000FF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71" authorId="0" shapeId="0" xr:uid="{00000000-0006-0000-0000-000000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72" authorId="0" shapeId="0" xr:uid="{00000000-0006-0000-0000-00000F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72" authorId="0" shapeId="0" xr:uid="{00000000-0006-0000-0000-000010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73" authorId="0" shapeId="0" xr:uid="{00000000-0006-0000-0000-00001F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73" authorId="0" shapeId="0" xr:uid="{00000000-0006-0000-0000-000020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74" authorId="0" shapeId="0" xr:uid="{00000000-0006-0000-0000-00002F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74" authorId="0" shapeId="0" xr:uid="{00000000-0006-0000-0000-000030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75" authorId="0" shapeId="0" xr:uid="{00000000-0006-0000-0000-00003D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75" authorId="0" shapeId="0" xr:uid="{00000000-0006-0000-0000-00003E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76" authorId="0" shapeId="0" xr:uid="{00000000-0006-0000-0000-00004B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76" authorId="0" shapeId="0" xr:uid="{00000000-0006-0000-0000-00004C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77" authorId="0" shapeId="0" xr:uid="{00000000-0006-0000-0000-000055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77" authorId="0" shapeId="0" xr:uid="{00000000-0006-0000-0000-000056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78" authorId="0" shapeId="0" xr:uid="{00000000-0006-0000-0000-00005F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78" authorId="0" shapeId="0" xr:uid="{00000000-0006-0000-0000-000060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79" authorId="0" shapeId="0" xr:uid="{00000000-0006-0000-0000-00006E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79" authorId="0" shapeId="0" xr:uid="{00000000-0006-0000-0000-00006F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80" authorId="0" shapeId="0" xr:uid="{00000000-0006-0000-0000-00007D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80" authorId="0" shapeId="0" xr:uid="{00000000-0006-0000-0000-00007E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81" authorId="0" shapeId="0" xr:uid="{00000000-0006-0000-0000-00008C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81" authorId="0" shapeId="0" xr:uid="{00000000-0006-0000-0000-00008D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82" authorId="0" shapeId="0" xr:uid="{00000000-0006-0000-0000-000099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82" authorId="0" shapeId="0" xr:uid="{00000000-0006-0000-0000-00009A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83" authorId="0" shapeId="0" xr:uid="{00000000-0006-0000-0000-0000A4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83" authorId="0" shapeId="0" xr:uid="{00000000-0006-0000-0000-0000A5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84" authorId="0" shapeId="0" xr:uid="{00000000-0006-0000-0000-0000AD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84" authorId="0" shapeId="0" xr:uid="{00000000-0006-0000-0000-0000AE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85" authorId="0" shapeId="0" xr:uid="{00000000-0006-0000-0000-0000B8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85" authorId="0" shapeId="0" xr:uid="{00000000-0006-0000-0000-0000B9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86" authorId="0" shapeId="0" xr:uid="{00000000-0006-0000-0000-0000C7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86" authorId="0" shapeId="0" xr:uid="{00000000-0006-0000-0000-0000C8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87" authorId="0" shapeId="0" xr:uid="{00000000-0006-0000-0000-0000D2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87" authorId="0" shapeId="0" xr:uid="{00000000-0006-0000-0000-0000D3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88" authorId="0" shapeId="0" xr:uid="{00000000-0006-0000-0000-0000DD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88" authorId="0" shapeId="0" xr:uid="{00000000-0006-0000-0000-0000DE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89" authorId="0" shapeId="0" xr:uid="{00000000-0006-0000-0000-0000E9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89" authorId="0" shapeId="0" xr:uid="{00000000-0006-0000-0000-0000EA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90" authorId="0" shapeId="0" xr:uid="{00000000-0006-0000-0000-0000F7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90" authorId="0" shapeId="0" xr:uid="{00000000-0006-0000-0000-0000F8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91" authorId="0" shapeId="0" xr:uid="{00000000-0006-0000-0000-000007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91" authorId="0" shapeId="0" xr:uid="{00000000-0006-0000-0000-000008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92" authorId="0" shapeId="0" xr:uid="{00000000-0006-0000-0000-000015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92" authorId="0" shapeId="0" xr:uid="{00000000-0006-0000-0000-000016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93" authorId="0" shapeId="0" xr:uid="{00000000-0006-0000-0000-000021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93" authorId="0" shapeId="0" xr:uid="{00000000-0006-0000-0000-000022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94" authorId="0" shapeId="0" xr:uid="{00000000-0006-0000-0000-00002F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94" authorId="0" shapeId="0" xr:uid="{00000000-0006-0000-0000-000030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95" authorId="0" shapeId="0" xr:uid="{00000000-0006-0000-0000-00003D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95" authorId="0" shapeId="0" xr:uid="{00000000-0006-0000-0000-00003E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96" authorId="0" shapeId="0" xr:uid="{00000000-0006-0000-0000-000049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96" authorId="0" shapeId="0" xr:uid="{00000000-0006-0000-0000-00004A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97" authorId="0" shapeId="0" xr:uid="{00000000-0006-0000-0000-000003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97" authorId="0" shapeId="0" xr:uid="{00000000-0006-0000-0000-000004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98" authorId="0" shapeId="0" xr:uid="{00000000-0006-0000-0000-00000F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98" authorId="0" shapeId="0" xr:uid="{00000000-0006-0000-0000-000010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399" authorId="0" shapeId="0" xr:uid="{00000000-0006-0000-0000-00001D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399" authorId="0" shapeId="0" xr:uid="{00000000-0006-0000-0000-00001E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00" authorId="0" shapeId="0" xr:uid="{00000000-0006-0000-0000-00002B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00" authorId="0" shapeId="0" xr:uid="{00000000-0006-0000-0000-00002C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01" authorId="0" shapeId="0" xr:uid="{00000000-0006-0000-0000-000037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01" authorId="0" shapeId="0" xr:uid="{00000000-0006-0000-0000-000038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02" authorId="0" shapeId="0" xr:uid="{00000000-0006-0000-0000-000043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02" authorId="0" shapeId="0" xr:uid="{00000000-0006-0000-0000-000044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03" authorId="0" shapeId="0" xr:uid="{00000000-0006-0000-0000-00004F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03" authorId="0" shapeId="0" xr:uid="{00000000-0006-0000-0000-000050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06" authorId="0" shapeId="0" xr:uid="{00000000-0006-0000-0000-000067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07" authorId="0" shapeId="0" xr:uid="{00000000-0006-0000-0000-000070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09" authorId="0" shapeId="0" xr:uid="{00000000-0006-0000-0000-000085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09" authorId="0" shapeId="0" xr:uid="{00000000-0006-0000-0000-000086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10" authorId="0" shapeId="0" xr:uid="{00000000-0006-0000-0000-000091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10" authorId="0" shapeId="0" xr:uid="{00000000-0006-0000-0000-000092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11" authorId="0" shapeId="0" xr:uid="{00000000-0006-0000-0000-000099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11" authorId="0" shapeId="0" xr:uid="{00000000-0006-0000-0000-00009A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12" authorId="0" shapeId="0" xr:uid="{00000000-0006-0000-0000-0000A3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12" authorId="0" shapeId="0" xr:uid="{00000000-0006-0000-0000-0000A4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13" authorId="0" shapeId="0" xr:uid="{00000000-0006-0000-0000-0000AF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13" authorId="0" shapeId="0" xr:uid="{00000000-0006-0000-0000-0000B0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14" authorId="0" shapeId="0" xr:uid="{00000000-0006-0000-0000-0000BD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14" authorId="0" shapeId="0" xr:uid="{00000000-0006-0000-0000-0000BE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15" authorId="0" shapeId="0" xr:uid="{00000000-0006-0000-0000-0000C7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15" authorId="0" shapeId="0" xr:uid="{00000000-0006-0000-0000-0000C8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16" authorId="0" shapeId="0" xr:uid="{00000000-0006-0000-0000-0000CF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16" authorId="0" shapeId="0" xr:uid="{00000000-0006-0000-0000-0000D0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17" authorId="0" shapeId="0" xr:uid="{00000000-0006-0000-0000-0000D9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17" authorId="0" shapeId="0" xr:uid="{00000000-0006-0000-0000-0000DA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18" authorId="0" shapeId="0" xr:uid="{00000000-0006-0000-0000-0000E9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18" authorId="0" shapeId="0" xr:uid="{00000000-0006-0000-0000-0000EA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19" authorId="0" shapeId="0" xr:uid="{00000000-0006-0000-0000-0000F9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19" authorId="0" shapeId="0" xr:uid="{00000000-0006-0000-0000-0000FA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20" authorId="0" shapeId="0" xr:uid="{00000000-0006-0000-0000-000007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20" authorId="0" shapeId="0" xr:uid="{00000000-0006-0000-0000-000008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21" authorId="0" shapeId="0" xr:uid="{00000000-0006-0000-0000-000015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21" authorId="0" shapeId="0" xr:uid="{00000000-0006-0000-0000-000016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22" authorId="0" shapeId="0" xr:uid="{00000000-0006-0000-0000-000023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22" authorId="0" shapeId="0" xr:uid="{00000000-0006-0000-0000-000024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23" authorId="0" shapeId="0" xr:uid="{00000000-0006-0000-0000-00002F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23" authorId="0" shapeId="0" xr:uid="{00000000-0006-0000-0000-000030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24" authorId="0" shapeId="0" xr:uid="{00000000-0006-0000-0000-00003D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24" authorId="0" shapeId="0" xr:uid="{00000000-0006-0000-0000-00003E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25" authorId="0" shapeId="0" xr:uid="{00000000-0006-0000-0000-00004B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25" authorId="0" shapeId="0" xr:uid="{00000000-0006-0000-0000-00004C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26" authorId="0" shapeId="0" xr:uid="{00000000-0006-0000-0000-000059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26" authorId="0" shapeId="0" xr:uid="{00000000-0006-0000-0000-00005A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27" authorId="0" shapeId="0" xr:uid="{00000000-0006-0000-0000-000069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27" authorId="0" shapeId="0" xr:uid="{00000000-0006-0000-0000-00006A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28" authorId="0" shapeId="0" xr:uid="{00000000-0006-0000-0000-000079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28" authorId="0" shapeId="0" xr:uid="{00000000-0006-0000-0000-00007A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29" authorId="0" shapeId="0" xr:uid="{00000000-0006-0000-0000-000087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29" authorId="0" shapeId="0" xr:uid="{00000000-0006-0000-0000-000088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32" authorId="0" shapeId="0" xr:uid="{00000000-0006-0000-0000-0000B1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32" authorId="0" shapeId="0" xr:uid="{00000000-0006-0000-0000-0000B2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33" authorId="0" shapeId="0" xr:uid="{00000000-0006-0000-0000-0000C1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33" authorId="0" shapeId="0" xr:uid="{00000000-0006-0000-0000-0000C2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34" authorId="0" shapeId="0" xr:uid="{00000000-0006-0000-0000-0000D1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34" authorId="0" shapeId="0" xr:uid="{00000000-0006-0000-0000-0000D2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35" authorId="0" shapeId="0" xr:uid="{00000000-0006-0000-0000-0000DF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35" authorId="0" shapeId="0" xr:uid="{00000000-0006-0000-0000-0000E0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36" authorId="0" shapeId="0" xr:uid="{00000000-0006-0000-0000-0000ED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36" authorId="0" shapeId="0" xr:uid="{00000000-0006-0000-0000-0000EE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37" authorId="0" shapeId="0" xr:uid="{00000000-0006-0000-0000-0000FD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37" authorId="0" shapeId="0" xr:uid="{00000000-0006-0000-0000-0000FE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38" authorId="0" shapeId="0" xr:uid="{00000000-0006-0000-0000-00000D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38" authorId="0" shapeId="0" xr:uid="{00000000-0006-0000-0000-00000E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39" authorId="0" shapeId="0" xr:uid="{00000000-0006-0000-0000-00001D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39" authorId="0" shapeId="0" xr:uid="{00000000-0006-0000-0000-00001E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40" authorId="0" shapeId="0" xr:uid="{00000000-0006-0000-0000-00002D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40" authorId="0" shapeId="0" xr:uid="{00000000-0006-0000-0000-00002E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41" authorId="0" shapeId="0" xr:uid="{00000000-0006-0000-0000-00003B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41" authorId="0" shapeId="0" xr:uid="{00000000-0006-0000-0000-00003C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42" authorId="0" shapeId="0" xr:uid="{00000000-0006-0000-0000-000049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42" authorId="0" shapeId="0" xr:uid="{00000000-0006-0000-0000-00004A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45" authorId="0" shapeId="0" xr:uid="{00000000-0006-0000-0000-00006C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45" authorId="0" shapeId="0" xr:uid="{00000000-0006-0000-0000-00006D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46" authorId="0" shapeId="0" xr:uid="{00000000-0006-0000-0000-00007B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46" authorId="0" shapeId="0" xr:uid="{00000000-0006-0000-0000-00007C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47" authorId="0" shapeId="0" xr:uid="{00000000-0006-0000-0000-00008A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47" authorId="0" shapeId="0" xr:uid="{00000000-0006-0000-0000-00008B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48" authorId="0" shapeId="0" xr:uid="{00000000-0006-0000-0000-000097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48" authorId="0" shapeId="0" xr:uid="{00000000-0006-0000-0000-000098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49" authorId="0" shapeId="0" xr:uid="{00000000-0006-0000-0000-0000A2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49" authorId="0" shapeId="0" xr:uid="{00000000-0006-0000-0000-0000A3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50" authorId="0" shapeId="0" xr:uid="{00000000-0006-0000-0000-0000AB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50" authorId="0" shapeId="0" xr:uid="{00000000-0006-0000-0000-0000AC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51" authorId="0" shapeId="0" xr:uid="{00000000-0006-0000-0000-0000B6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51" authorId="0" shapeId="0" xr:uid="{00000000-0006-0000-0000-0000B7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52" authorId="0" shapeId="0" xr:uid="{00000000-0006-0000-0000-0000C5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52" authorId="0" shapeId="0" xr:uid="{00000000-0006-0000-0000-0000C6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55" authorId="0" shapeId="0" xr:uid="{00000000-0006-0000-0000-0000E7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55" authorId="0" shapeId="0" xr:uid="{00000000-0006-0000-0000-0000E8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56" authorId="0" shapeId="0" xr:uid="{00000000-0006-0000-0000-0000F5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56" authorId="0" shapeId="0" xr:uid="{00000000-0006-0000-0000-0000F6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57" authorId="0" shapeId="0" xr:uid="{00000000-0006-0000-0000-000005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57" authorId="0" shapeId="0" xr:uid="{00000000-0006-0000-0000-000006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58" authorId="0" shapeId="0" xr:uid="{00000000-0006-0000-0000-000013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58" authorId="0" shapeId="0" xr:uid="{00000000-0006-0000-0000-000014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59" authorId="0" shapeId="0" xr:uid="{00000000-0006-0000-0000-00001F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59" authorId="0" shapeId="0" xr:uid="{00000000-0006-0000-0000-000020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60" authorId="0" shapeId="0" xr:uid="{00000000-0006-0000-0000-00002D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60" authorId="0" shapeId="0" xr:uid="{00000000-0006-0000-0000-00002E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61" authorId="0" shapeId="0" xr:uid="{00000000-0006-0000-0000-00003B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61" authorId="0" shapeId="0" xr:uid="{00000000-0006-0000-0000-00003C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62" authorId="0" shapeId="0" xr:uid="{00000000-0006-0000-0000-000047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62" authorId="0" shapeId="0" xr:uid="{00000000-0006-0000-0000-000048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63" authorId="0" shapeId="0" xr:uid="{00000000-0006-0000-0000-000001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63" authorId="0" shapeId="0" xr:uid="{00000000-0006-0000-0000-000002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64" authorId="0" shapeId="0" xr:uid="{00000000-0006-0000-0000-00000D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64" authorId="0" shapeId="0" xr:uid="{00000000-0006-0000-0000-00000E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65" authorId="0" shapeId="0" xr:uid="{00000000-0006-0000-0000-00001B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65" authorId="0" shapeId="0" xr:uid="{00000000-0006-0000-0000-00001C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66" authorId="0" shapeId="0" xr:uid="{00000000-0006-0000-0000-000029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66" authorId="0" shapeId="0" xr:uid="{00000000-0006-0000-0000-00002A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67" authorId="0" shapeId="0" xr:uid="{00000000-0006-0000-0000-000035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67" authorId="0" shapeId="0" xr:uid="{00000000-0006-0000-0000-000036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70" authorId="0" shapeId="0" xr:uid="{00000000-0006-0000-0000-000059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70" authorId="0" shapeId="0" xr:uid="{00000000-0006-0000-0000-00005A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71" authorId="0" shapeId="0" xr:uid="{00000000-0006-0000-0000-00005F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71" authorId="0" shapeId="0" xr:uid="{00000000-0006-0000-0000-000060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72" authorId="0" shapeId="0" xr:uid="{00000000-0006-0000-0000-000065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72" authorId="0" shapeId="0" xr:uid="{00000000-0006-0000-0000-000066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73" authorId="0" shapeId="0" xr:uid="{00000000-0006-0000-0000-00006E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73" authorId="0" shapeId="0" xr:uid="{00000000-0006-0000-0000-00006F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74" authorId="0" shapeId="0" xr:uid="{00000000-0006-0000-0000-000079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74" authorId="0" shapeId="0" xr:uid="{00000000-0006-0000-0000-00007A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75" authorId="0" shapeId="0" xr:uid="{00000000-0006-0000-0000-000083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75" authorId="0" shapeId="0" xr:uid="{00000000-0006-0000-0000-000084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76" authorId="0" shapeId="0" xr:uid="{00000000-0006-0000-0000-00008F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76" authorId="0" shapeId="0" xr:uid="{00000000-0006-0000-0000-000090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77" authorId="0" shapeId="0" xr:uid="{00000000-0006-0000-0000-000097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77" authorId="0" shapeId="0" xr:uid="{00000000-0006-0000-0000-000098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78" authorId="0" shapeId="0" xr:uid="{00000000-0006-0000-0000-0000A1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78" authorId="0" shapeId="0" xr:uid="{00000000-0006-0000-0000-0000A2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79" authorId="0" shapeId="0" xr:uid="{00000000-0006-0000-0000-0000AD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79" authorId="0" shapeId="0" xr:uid="{00000000-0006-0000-0000-0000AE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80" authorId="0" shapeId="0" xr:uid="{00000000-0006-0000-0000-0000BB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80" authorId="0" shapeId="0" xr:uid="{00000000-0006-0000-0000-0000BC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81" authorId="0" shapeId="0" xr:uid="{00000000-0006-0000-0000-0000C5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81" authorId="0" shapeId="0" xr:uid="{00000000-0006-0000-0000-0000C6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84" authorId="0" shapeId="0" xr:uid="{00000000-0006-0000-0000-0000E7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84" authorId="0" shapeId="0" xr:uid="{00000000-0006-0000-0000-0000E8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85" authorId="0" shapeId="0" xr:uid="{00000000-0006-0000-0000-0000F7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85" authorId="0" shapeId="0" xr:uid="{00000000-0006-0000-0000-0000F8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86" authorId="0" shapeId="0" xr:uid="{00000000-0006-0000-0000-000005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86" authorId="0" shapeId="0" xr:uid="{00000000-0006-0000-0000-000006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87" authorId="0" shapeId="0" xr:uid="{00000000-0006-0000-0000-000013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87" authorId="0" shapeId="0" xr:uid="{00000000-0006-0000-0000-000014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88" authorId="0" shapeId="0" xr:uid="{00000000-0006-0000-0000-000021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88" authorId="0" shapeId="0" xr:uid="{00000000-0006-0000-0000-000022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89" authorId="0" shapeId="0" xr:uid="{00000000-0006-0000-0000-00002D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89" authorId="0" shapeId="0" xr:uid="{00000000-0006-0000-0000-00002E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90" authorId="0" shapeId="0" xr:uid="{00000000-0006-0000-0000-00003B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90" authorId="0" shapeId="0" xr:uid="{00000000-0006-0000-0000-00003C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93" authorId="0" shapeId="0" xr:uid="{00000000-0006-0000-0000-000067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93" authorId="0" shapeId="0" xr:uid="{00000000-0006-0000-0000-000068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94" authorId="0" shapeId="0" xr:uid="{00000000-0006-0000-0000-000077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94" authorId="0" shapeId="0" xr:uid="{00000000-0006-0000-0000-000078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95" authorId="0" shapeId="0" xr:uid="{00000000-0006-0000-0000-000085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95" authorId="0" shapeId="0" xr:uid="{00000000-0006-0000-0000-000086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96" authorId="0" shapeId="0" xr:uid="{00000000-0006-0000-0000-000093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96" authorId="0" shapeId="0" xr:uid="{00000000-0006-0000-0000-000094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97" authorId="0" shapeId="0" xr:uid="{00000000-0006-0000-0000-0000A1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97" authorId="0" shapeId="0" xr:uid="{00000000-0006-0000-0000-0000A2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98" authorId="0" shapeId="0" xr:uid="{00000000-0006-0000-0000-0000AF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98" authorId="0" shapeId="0" xr:uid="{00000000-0006-0000-0000-0000B0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499" authorId="0" shapeId="0" xr:uid="{00000000-0006-0000-0000-0000BF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499" authorId="0" shapeId="0" xr:uid="{00000000-0006-0000-0000-0000C0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500" authorId="0" shapeId="0" xr:uid="{00000000-0006-0000-0000-0000CF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500" authorId="0" shapeId="0" xr:uid="{00000000-0006-0000-0000-0000D0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501" authorId="0" shapeId="0" xr:uid="{00000000-0006-0000-0000-0000DD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501" authorId="0" shapeId="0" xr:uid="{00000000-0006-0000-0000-0000DE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502" authorId="0" shapeId="0" xr:uid="{00000000-0006-0000-0000-0000EB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502" authorId="0" shapeId="0" xr:uid="{00000000-0006-0000-0000-0000EC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503" authorId="0" shapeId="0" xr:uid="{00000000-0006-0000-0000-0000FB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503" authorId="0" shapeId="0" xr:uid="{00000000-0006-0000-0000-0000FC01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504" authorId="0" shapeId="0" xr:uid="{00000000-0006-0000-0000-00000B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504" authorId="0" shapeId="0" xr:uid="{00000000-0006-0000-0000-00000C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505" authorId="0" shapeId="0" xr:uid="{00000000-0006-0000-0000-00001B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505" authorId="0" shapeId="0" xr:uid="{00000000-0006-0000-0000-00001C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506" authorId="0" shapeId="0" xr:uid="{00000000-0006-0000-0000-00002B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506" authorId="0" shapeId="0" xr:uid="{00000000-0006-0000-0000-00002C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507" authorId="0" shapeId="0" xr:uid="{00000000-0006-0000-0000-000039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507" authorId="0" shapeId="0" xr:uid="{00000000-0006-0000-0000-00003A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508" authorId="0" shapeId="0" xr:uid="{00000000-0006-0000-0000-000047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508" authorId="0" shapeId="0" xr:uid="{00000000-0006-0000-0000-000048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511" authorId="0" shapeId="0" xr:uid="{00000000-0006-0000-0000-00006B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512" authorId="0" shapeId="0" xr:uid="{00000000-0006-0000-0000-00007A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513" authorId="0" shapeId="0" xr:uid="{00000000-0006-0000-0000-000089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514" authorId="0" shapeId="0" xr:uid="{00000000-0006-0000-0000-000096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515" authorId="0" shapeId="0" xr:uid="{00000000-0006-0000-0000-0000A1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516" authorId="0" shapeId="0" xr:uid="{00000000-0006-0000-0000-0000AA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517" authorId="0" shapeId="0" xr:uid="{00000000-0006-0000-0000-0000B5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518" authorId="0" shapeId="0" xr:uid="{00000000-0006-0000-0000-0000C4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519" authorId="0" shapeId="0" xr:uid="{00000000-0006-0000-0000-0000D1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520" authorId="0" shapeId="0" xr:uid="{00000000-0006-0000-0000-0000DC02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523" authorId="0" shapeId="0" xr:uid="{00000000-0006-0000-0000-000003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523" authorId="0" shapeId="0" xr:uid="{00000000-0006-0000-0000-000004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524" authorId="0" shapeId="0" xr:uid="{00000000-0006-0000-0000-000011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524" authorId="0" shapeId="0" xr:uid="{00000000-0006-0000-0000-000012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525" authorId="0" shapeId="0" xr:uid="{00000000-0006-0000-0000-00001D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525" authorId="0" shapeId="0" xr:uid="{00000000-0006-0000-0000-00001E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526" authorId="0" shapeId="0" xr:uid="{00000000-0006-0000-0000-00002B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526" authorId="0" shapeId="0" xr:uid="{00000000-0006-0000-0000-00002C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527" authorId="0" shapeId="0" xr:uid="{00000000-0006-0000-0000-000039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527" authorId="0" shapeId="0" xr:uid="{00000000-0006-0000-0000-00003A03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530" authorId="0" shapeId="0" xr:uid="{00000000-0006-0000-0000-00000B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530" authorId="0" shapeId="0" xr:uid="{00000000-0006-0000-0000-00000C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531" authorId="0" shapeId="0" xr:uid="{00000000-0006-0000-0000-000019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531" authorId="0" shapeId="0" xr:uid="{00000000-0006-0000-0000-00001A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532" authorId="0" shapeId="0" xr:uid="{00000000-0006-0000-0000-000027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532" authorId="0" shapeId="0" xr:uid="{00000000-0006-0000-0000-000028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533" authorId="0" shapeId="0" xr:uid="{00000000-0006-0000-0000-000033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533" authorId="0" shapeId="0" xr:uid="{00000000-0006-0000-0000-000034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534" authorId="0" shapeId="0" xr:uid="{00000000-0006-0000-0000-000041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534" authorId="0" shapeId="0" xr:uid="{00000000-0006-0000-0000-000042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O535" authorId="0" shapeId="0" xr:uid="{00000000-0006-0000-0000-00004D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  <comment ref="P535" authorId="0" shapeId="0" xr:uid="{00000000-0006-0000-0000-00004E000000}">
      <text>
        <r>
          <rPr>
            <sz val="10"/>
            <color rgb="FF000000"/>
            <rFont val="Arial"/>
            <scheme val="minor"/>
          </rPr>
          <t>KLIK DUA KALI PADA KOLOM INI</t>
        </r>
      </text>
    </comment>
  </commentList>
</comments>
</file>

<file path=xl/sharedStrings.xml><?xml version="1.0" encoding="utf-8"?>
<sst xmlns="http://schemas.openxmlformats.org/spreadsheetml/2006/main" count="4679" uniqueCount="1430">
  <si>
    <t>KEPOLISIAN NEGARA REPUBLIK INDONESIA</t>
  </si>
  <si>
    <t xml:space="preserve">        DAERAH NUSA TENGGARA BARAT</t>
  </si>
  <si>
    <t>DATA PELAKU PENGADAAN BERSERTA PAKET PENGADAAN BERKONTRAK T.A. 2026</t>
  </si>
  <si>
    <t>NO</t>
  </si>
  <si>
    <t>SATKER</t>
  </si>
  <si>
    <t>PELAKU PENGADAAN</t>
  </si>
  <si>
    <t>NAMA</t>
  </si>
  <si>
    <t>PANGKAT</t>
  </si>
  <si>
    <t>NRP/NIP</t>
  </si>
  <si>
    <t>KEP/SPRIN</t>
  </si>
  <si>
    <t>MENANGANI PAKET</t>
  </si>
  <si>
    <t>NILAI</t>
  </si>
  <si>
    <t>METODE PENGADAAN</t>
  </si>
  <si>
    <t>NAMA PENYEDIA</t>
  </si>
  <si>
    <t>KONTRAK</t>
  </si>
  <si>
    <t>KETERANGAN</t>
  </si>
  <si>
    <t>NOMOR</t>
  </si>
  <si>
    <t>TANGGAL</t>
  </si>
  <si>
    <t>PAGU</t>
  </si>
  <si>
    <t xml:space="preserve">NOMOR </t>
  </si>
  <si>
    <t>TANGGAL MULAI</t>
  </si>
  <si>
    <t>TANGGAL SELESAI</t>
  </si>
  <si>
    <t xml:space="preserve">ITWASDA </t>
  </si>
  <si>
    <t>KPA</t>
  </si>
  <si>
    <t>DEDE RUHIAT DJUNAEDI, S.I.K., M.H.</t>
  </si>
  <si>
    <t>KOMBES POL</t>
  </si>
  <si>
    <t>KEP/1003/VI/2024</t>
  </si>
  <si>
    <t>PPK</t>
  </si>
  <si>
    <t>Kep/941/XII/2025</t>
  </si>
  <si>
    <t>Harwat Ranmor R4 Itwasda</t>
  </si>
  <si>
    <t>E-PURCHASING</t>
  </si>
  <si>
    <t>CV. CAHAYADIPUTRA</t>
  </si>
  <si>
    <t>EP-01KGA50XP5SPEV793C560F91QG</t>
  </si>
  <si>
    <t>FILE KONTRAK ADA</t>
  </si>
  <si>
    <t>PP</t>
  </si>
  <si>
    <t>BAYU ADI BASKARA</t>
  </si>
  <si>
    <t>BRIPTU</t>
  </si>
  <si>
    <t>KEP/10027.SLOG/XII/2025</t>
  </si>
  <si>
    <t>Pengadaan Atk Itwasda</t>
  </si>
  <si>
    <t>CV FAJAR INDAH</t>
  </si>
  <si>
    <t>EP-01KFM95PQAPN95SQXH873AYFPN</t>
  </si>
  <si>
    <t/>
  </si>
  <si>
    <t xml:space="preserve">BIRO OPS </t>
  </si>
  <si>
    <t>ERWIN RACHMAT, S.I.K., M.H.</t>
  </si>
  <si>
    <t>kEP/13/I/2026</t>
  </si>
  <si>
    <t>NURAINI, S.E.</t>
  </si>
  <si>
    <t>PEMBINA</t>
  </si>
  <si>
    <t>197206019980320001</t>
  </si>
  <si>
    <t>SPRIN/183/XII/LOG.4./2025</t>
  </si>
  <si>
    <t>Pengadaan Ulp Non Organik Makan Jaga Kawal Satker Biro Operasi Dan Spkt Polda Ntb</t>
  </si>
  <si>
    <t>UD VR FOOD AND SNACK</t>
  </si>
  <si>
    <t>EP-01KDSEK0MNBJT6VQWMF1N8VCZ1</t>
  </si>
  <si>
    <t>ABDUL SENAN</t>
  </si>
  <si>
    <t>PENATA TK. I</t>
  </si>
  <si>
    <t>197411171998031002</t>
  </si>
  <si>
    <t>SPRIN/34/II/LOG.4./2026</t>
  </si>
  <si>
    <t>Pengadaan Harwat R4 Satker Biro Operasi Dan Spkt Polda Ntb</t>
  </si>
  <si>
    <t>CV UTAMA MOTOR</t>
  </si>
  <si>
    <t>EP-01KHBK4XAGACA7EX4DE7CKVKH7</t>
  </si>
  <si>
    <t xml:space="preserve">BIRO RENA </t>
  </si>
  <si>
    <t>SUSILO SETIAWAN, S.I.K.</t>
  </si>
  <si>
    <t>KEP/388/V/2025</t>
  </si>
  <si>
    <t>KEP/4/I/2026</t>
  </si>
  <si>
    <t>Pengadaan Atk Biro Rena Polda Ntb T.A. 2026</t>
  </si>
  <si>
    <t>UD.FAJAR INDAH</t>
  </si>
  <si>
    <t>EP-01KF04MRCEPOJHP77ADBHHT7Z</t>
  </si>
  <si>
    <t>Pengadaan Harwat Ranmor R4 Biro Rena Polda Ntb T.A. 2026</t>
  </si>
  <si>
    <t>LS. MOTOR</t>
  </si>
  <si>
    <t>EP-01KGEGH1TVO7W9PRRGTC0JMHZR</t>
  </si>
  <si>
    <t xml:space="preserve">Pengadaan Alsintor </t>
  </si>
  <si>
    <t xml:space="preserve">BIRO SDM </t>
  </si>
  <si>
    <t>I DEWA MADE ADNYANA, S.I.K., S.H., M.H.</t>
  </si>
  <si>
    <t>KEP/83/XII/OTL.2./2025</t>
  </si>
  <si>
    <t>MUNANDAR, S.H., M.H</t>
  </si>
  <si>
    <t>198005232006041011</t>
  </si>
  <si>
    <t>SPRIN/368/XII/LOG.4./2025</t>
  </si>
  <si>
    <t>MUHZAR, S.Kep.</t>
  </si>
  <si>
    <t>197907062006041003</t>
  </si>
  <si>
    <t>SPRIN/392/XII/LOG.4./2025</t>
  </si>
  <si>
    <t>Pengadaan Atk Biro Sdm Polda Ntb T.A. 2026</t>
  </si>
  <si>
    <t>UD. FAJAR INDAH</t>
  </si>
  <si>
    <t>EP-01KEVT996BCCJ08QWT0FE3VAX8</t>
  </si>
  <si>
    <t>Pengadaan Harwat Ranmor R4 Biro Sdm Polda Ntb T.A. 2026</t>
  </si>
  <si>
    <t>CV. LIGHT AUTO</t>
  </si>
  <si>
    <t>EP-01KFCERBQX1TGQRPWGJ61E4S2K</t>
  </si>
  <si>
    <t xml:space="preserve"> Pengadaan Rikkes Pkn Tk II Biro Sdm T.A. 2026</t>
  </si>
  <si>
    <t>PT. MITRA HUSADA ARTHAJAYA</t>
  </si>
  <si>
    <t>EP-01KEZNPZW1YZFVKYTZACNPKE18-AD01 (1)</t>
  </si>
  <si>
    <t xml:space="preserve"> Pengadaan Rikkes S2 Stik Reguler Dan S2 Stik Rpl Biro Sdm T.A. 2026</t>
  </si>
  <si>
    <t>NON TENDER</t>
  </si>
  <si>
    <t>ADD.SP/6/III/LOG.4./2026</t>
  </si>
  <si>
    <t xml:space="preserve"> Pengadaan Rikkes EKG Akpol Polda NTB T.A. 2026</t>
  </si>
  <si>
    <t>EP-01KRG1QA1N77H661K3JG4WFAPN</t>
  </si>
  <si>
    <t xml:space="preserve">BIRO LOGISTIK </t>
  </si>
  <si>
    <t>SAPTO PRIYONO</t>
  </si>
  <si>
    <t>KEP/928/VI/2025</t>
  </si>
  <si>
    <t>PRATIWI NOFIANI, S.H., S.I.K., M.M.</t>
  </si>
  <si>
    <t>KOMPOL</t>
  </si>
  <si>
    <t>KEP/900/XII/2025</t>
  </si>
  <si>
    <t>Pengadaan Kapor Polri Dan Pns Dan Pns Paket I Berupa Pakaian Dinas, Topi Lapangan Pati, Topi Lapangan Pns, Jilbab Dan Pakaian Olahraga Polda Ntb T.A. 2026</t>
  </si>
  <si>
    <t>PANCA PRIMA MAJU BERSAUDARA</t>
  </si>
  <si>
    <t>EP-01KFWPDEKSVF2AH9XHRQY8RB4H</t>
  </si>
  <si>
    <t>Pengadaan Kapor Polri Dan Pns Dan Pns Paket Ii Berupa Sepatu Olahraga Polda Ntb T.A. 2026</t>
  </si>
  <si>
    <t>PT. GARUDA ZEIN PREMIUM</t>
  </si>
  <si>
    <t>EP-01KFWQ7CGD5N0SA8C6PK6M0R50</t>
  </si>
  <si>
    <t>BAYU ADI BASKARA, S.H.</t>
  </si>
  <si>
    <t>SPRIN/228/XII/KEP.2025</t>
  </si>
  <si>
    <t>Pemeliharaan Dan Perawatan R4/R6 Biro Logistik Polda Ntb Ta 2026</t>
  </si>
  <si>
    <t>CV. LINGKAR SELATAN MOTOR</t>
  </si>
  <si>
    <t>EP-01KFMFH7VP7HRD3Y0HF41SMRYZ</t>
  </si>
  <si>
    <t>Pengadaan Keperluan Perkantoran Biro Logistik Ta 2026</t>
  </si>
  <si>
    <t>FAJAR INDAH</t>
  </si>
  <si>
    <t>EP-01KEXPD5T77HJXRFCH02QZMVYR</t>
  </si>
  <si>
    <t xml:space="preserve">DITINTELKAM </t>
  </si>
  <si>
    <t>SIGIT ARI WIDODO, S.I.K.</t>
  </si>
  <si>
    <t>KEP/2138/XII/2024</t>
  </si>
  <si>
    <t>KEP/902/XII/2025</t>
  </si>
  <si>
    <t>Pengadaan Barang Jasa Laptop Unit Intelkam Polsek</t>
  </si>
  <si>
    <t>AYOOKLIK AIRMAS INTERNUSA</t>
  </si>
  <si>
    <t>EP-01KGKYFXPP8H7VYNNBGSVNMS92</t>
  </si>
  <si>
    <t>Pengadaan Jasa Harwat R-4 Ditintelkam</t>
  </si>
  <si>
    <t>LINGKAR SELATAN MOTOR</t>
  </si>
  <si>
    <t>EP-01KDS7TJA99XRBFGENEA589WKC</t>
  </si>
  <si>
    <t>I DEWA KETUT BUDIARTHA, S.H.</t>
  </si>
  <si>
    <t>BRIPKA</t>
  </si>
  <si>
    <t>SPRIN/879/XII/LOG.4./2025</t>
  </si>
  <si>
    <t>Pengadaan Barang/Jasa Ulp Non Organik Piket Fungsi Ditintelkam</t>
  </si>
  <si>
    <t>RIRIN YULIANI</t>
  </si>
  <si>
    <t>EP-01KDKRYYF5CX4W3N287SAZ4B06</t>
  </si>
  <si>
    <t>SPRIN/888/XII/LOG.4./2025</t>
  </si>
  <si>
    <t>Pengadaan Langsung Belanja Barang Keperluan Perkantoran</t>
  </si>
  <si>
    <t>LEONY DHAVILLA</t>
  </si>
  <si>
    <t>EP-01KEB5QG40PB1CXZ1Q4NN6MJ6K</t>
  </si>
  <si>
    <t xml:space="preserve">DITRESKRIMUM </t>
  </si>
  <si>
    <t>ARISANDI, S.H., S.I.K., M.Si.</t>
  </si>
  <si>
    <t>KEP/1923A/XII/2025</t>
  </si>
  <si>
    <t>Kep/11/I/2026</t>
  </si>
  <si>
    <t>Har Kendaraan R4/R6 T.A 2026</t>
  </si>
  <si>
    <t>CV. CAHAYA DIPUTRA</t>
  </si>
  <si>
    <t>EP-01KGVKV08RCDB96WYY6XRGY216</t>
  </si>
  <si>
    <t>Makan Tahanan  T.A 2026</t>
  </si>
  <si>
    <t>UD. SRI</t>
  </si>
  <si>
    <t>EP-01KDT9ZNBQXED4CQD7QNN3D94V</t>
  </si>
  <si>
    <t>Perawatan Tahanan  T.A 2026</t>
  </si>
  <si>
    <t>CV. KARYA ERGIO JAYA</t>
  </si>
  <si>
    <t>EP-01KDW70H8XX7RXJM27D1FZDSNG</t>
  </si>
  <si>
    <t>ABDUL SENAN, S.Sos.</t>
  </si>
  <si>
    <t>Sprin/370/XII/LOG.4/2025</t>
  </si>
  <si>
    <t>Har Kendaraan R2 T.A 2026</t>
  </si>
  <si>
    <t>UD. RIZKI RAMDAN MOTOR</t>
  </si>
  <si>
    <t>EP-01KHBCHE7YYDPJAS5B4ED7QBEY</t>
  </si>
  <si>
    <t>Alat Tulis Kantor (Atk) T.A 2026</t>
  </si>
  <si>
    <t>EP-01KGF6W1V07F8DHG4sK4VNTJBS</t>
  </si>
  <si>
    <t>Ulp Non Organik T.A 2026</t>
  </si>
  <si>
    <t>RM DAN KATERING ARISTA</t>
  </si>
  <si>
    <t>EP-01KE9BMBH18PB0QBRHDKX2P14W</t>
  </si>
  <si>
    <t xml:space="preserve">DITRESKRIMSUS </t>
  </si>
  <si>
    <t>FX. ENDRIADI, S.I.K</t>
  </si>
  <si>
    <t>Kep/346/IV/2025</t>
  </si>
  <si>
    <t>NI MADE SUSANTI S. Adm., M.I.Kom</t>
  </si>
  <si>
    <t>PENATA MUDA TK. I</t>
  </si>
  <si>
    <t>197910142003122000</t>
  </si>
  <si>
    <t>Sprint/741/XII/REN.2.3./2025/Ditreskrimsus</t>
  </si>
  <si>
    <t>JUNAID, SH</t>
  </si>
  <si>
    <t>IPDA</t>
  </si>
  <si>
    <t>Sprint/742/XII/REN.2.3./2025/Ditreskrimsus</t>
  </si>
  <si>
    <t>Ulp Non Organik (Makan Jaga)</t>
  </si>
  <si>
    <t>KANTIN POLDA</t>
  </si>
  <si>
    <t>EP-01KE42216DT9KNG2H7MD1GNAW4</t>
  </si>
  <si>
    <t>Har Alsus Saiber (Peralatan Dan Mesin)</t>
  </si>
  <si>
    <t>NUSANTARA TECKNO</t>
  </si>
  <si>
    <t>EP-01KFAP6BCWAEP998ZDSTQWEJSG</t>
  </si>
  <si>
    <t>Har Alsus Saiber (Peralatan Mesin Cyber Crime)</t>
  </si>
  <si>
    <t>Harwat Inventaris Kantor</t>
  </si>
  <si>
    <t>Har Kendaraan R4/R6/R10 (Operasional Reskrimsus)</t>
  </si>
  <si>
    <t>UTAMA MOTOR</t>
  </si>
  <si>
    <t>EP-01KS7ANV28B4MT5949FMF45RGT</t>
  </si>
  <si>
    <t>Alat Tulis Kantor (Atk)</t>
  </si>
  <si>
    <t>UD FAJAR INDAH</t>
  </si>
  <si>
    <t>EP-01KE8RC1DSJDWVST9CPN9CPN9VZ8TK</t>
  </si>
  <si>
    <t xml:space="preserve">DITRESNARKOBA </t>
  </si>
  <si>
    <t>ROMAN SMARADHANA ELHAJ, S.H., S.I.K., M.H.</t>
  </si>
  <si>
    <t>KEP/2139/XII/2024</t>
  </si>
  <si>
    <t>KEP/923/XII/2025</t>
  </si>
  <si>
    <t>Pengadaan Harwat Kendaraan Bermotor R4</t>
  </si>
  <si>
    <t xml:space="preserve"> Rp. 280.000.000</t>
  </si>
  <si>
    <t xml:space="preserve"> PT. WICOM MOTOR</t>
  </si>
  <si>
    <t>EP-01KD87TD520CWVYY5D39VZBFVN</t>
  </si>
  <si>
    <t>SPRIN/705/XII/LOG/2025/DITRESNARKOBA</t>
  </si>
  <si>
    <t>Pengadaan Ulp Non Organik/Jaga Fungsi Ditresnarkoba</t>
  </si>
  <si>
    <t xml:space="preserve"> Rp. 72.270.000</t>
  </si>
  <si>
    <t xml:space="preserve"> UD. VR. FOOD AND SNACK</t>
  </si>
  <si>
    <t>EP-01KDJMCZYVYQ6R5TNWDWQVJV65</t>
  </si>
  <si>
    <t>Pengadaan Keperluan Perkantoran/Atk</t>
  </si>
  <si>
    <t>Rp. 104.880.000</t>
  </si>
  <si>
    <t>CV. TRIWI</t>
  </si>
  <si>
    <t>EP-01KDJT9GV11J8NXKSSSP3YQ3J3</t>
  </si>
  <si>
    <t xml:space="preserve">DITLANTAS </t>
  </si>
  <si>
    <t>ROMADHONI SUTARDJO, S.I.K., M.H.</t>
  </si>
  <si>
    <t>KEP/940/XII/2023</t>
  </si>
  <si>
    <t>Pengadaan Harwat Ranmor R4 &amp; Ransus Ditlantas Polda Ntb T.A. 2026 Sumber Pnbp)</t>
  </si>
  <si>
    <t>Rp.  616.47000</t>
  </si>
  <si>
    <t>Rp.  493.177.000</t>
  </si>
  <si>
    <t xml:space="preserve">EP-01KH1FTJ2GV584R3BPTRM0FQ4X
</t>
  </si>
  <si>
    <t>Pengadaan Harwat Ranmor R4 &amp; Ransus Ditlantas Polda Ntb T.A. 2026 Sumber Rupiah Murni)</t>
  </si>
  <si>
    <t>Rp.  307.500.000</t>
  </si>
  <si>
    <t>Rp.  246.000.000</t>
  </si>
  <si>
    <t xml:space="preserve">EP-01KH164KAX9PCJ76WEFA0FRWQ3
</t>
  </si>
  <si>
    <t>MUH. SAUFI HAQIQI</t>
  </si>
  <si>
    <t>SPRIN/379/XII/2025</t>
  </si>
  <si>
    <t>Pengadaan Ulp Non Organik Ditlantas Polda Ntb T.A. 2026</t>
  </si>
  <si>
    <t>Rp.  144.934.000</t>
  </si>
  <si>
    <t>Rp.  144.540.000</t>
  </si>
  <si>
    <t>UD. VR FOOD &amp; SNACK</t>
  </si>
  <si>
    <t xml:space="preserve">EP-01KQHTJJGNETGCH9QX1G4H6F4B
</t>
  </si>
  <si>
    <t>Pengadaan Barang Keperluan Perkantoran Ditlantas Polda Ntb T.A. 2026</t>
  </si>
  <si>
    <t>Rp.  85.120.000</t>
  </si>
  <si>
    <t>EP-01KEH4ZZBW2TV5898BX0KACD01</t>
  </si>
  <si>
    <t>Harwat Ranmor R2 Ditlantas Polda Ntb T.A. 2026 Sumber Pnbp</t>
  </si>
  <si>
    <t>Rp.  180.515.000</t>
  </si>
  <si>
    <t>Rp.  144.412.000</t>
  </si>
  <si>
    <t>UD. REJEKI RAMDAN MOTOR</t>
  </si>
  <si>
    <t xml:space="preserve">EP-01KH3R8GH37G7F96NRTX38VDE4
</t>
  </si>
  <si>
    <t>Harwat Ranmor R2 Ditlantas Polda Ntb T.A. 2026 Sumber Rupiah Murni</t>
  </si>
  <si>
    <t>Rp.  119.820.000</t>
  </si>
  <si>
    <t>Rp.  95.856.000</t>
  </si>
  <si>
    <t xml:space="preserve">EP-01KH3WPHQWBS01A0CYSW1JY1SW
</t>
  </si>
  <si>
    <t xml:space="preserve">DITBINMAS </t>
  </si>
  <si>
    <t>IMAN PRIBADI SANTOSO, S.I.K., M.Si.</t>
  </si>
  <si>
    <t>KEP/17/I/2026</t>
  </si>
  <si>
    <t>Pengadaan Keperluan Perkantoran/Atk Ditbinmas Polda Ntb T.A 2026</t>
  </si>
  <si>
    <t>PENGADAAN LANGSUNG</t>
  </si>
  <si>
    <t>CV. REKAN JAYA ABADI</t>
  </si>
  <si>
    <t>EP-01KH3NFFQMEVEW81FSZ7ZWKX08</t>
  </si>
  <si>
    <t>ANDI KHUWAILID</t>
  </si>
  <si>
    <t>SPRIN/522/XII/LOG.4./2025</t>
  </si>
  <si>
    <t>Pengadaan Jasa Harwat R4 Ditbinmas Polda Ntb T.A 2026</t>
  </si>
  <si>
    <t>PT. MATARAM SUMBER EMAS</t>
  </si>
  <si>
    <t>SPK/01/1/2026</t>
  </si>
  <si>
    <t xml:space="preserve">SAT BRIMOB </t>
  </si>
  <si>
    <t>DWI YANTO NUGROHO, S.I.K., M.Han.</t>
  </si>
  <si>
    <t>KEP/464/III/2025</t>
  </si>
  <si>
    <t>KEP/982/XII/2025</t>
  </si>
  <si>
    <t>ADIN MUSTOFA</t>
  </si>
  <si>
    <t>AKP</t>
  </si>
  <si>
    <t>SPRIN/830/XII/LOG.4./2025</t>
  </si>
  <si>
    <t>Ulp Mako Satbrimob</t>
  </si>
  <si>
    <t>UD. RIO WARUNG SARI</t>
  </si>
  <si>
    <t>SPK/1/I/2026</t>
  </si>
  <si>
    <t>Ulp Kompi 1 Yon A</t>
  </si>
  <si>
    <t>CATERING PAK YONO</t>
  </si>
  <si>
    <t>SPK/5/I/2026</t>
  </si>
  <si>
    <t>Ulp Kompi 2 Yon A</t>
  </si>
  <si>
    <t>WARUNG MAKAN SUMBER RISKI</t>
  </si>
  <si>
    <t>SPK/7/I/2026</t>
  </si>
  <si>
    <t>Ulp Kompi 3 Yon A</t>
  </si>
  <si>
    <t>RM MENTARI CATERING</t>
  </si>
  <si>
    <t>SPK/9/I/2026</t>
  </si>
  <si>
    <t>Ulp Kompi 4 Yon A</t>
  </si>
  <si>
    <t>SPK/11/I/2026</t>
  </si>
  <si>
    <t>Ulp Kompi 1 Yon B</t>
  </si>
  <si>
    <t>CV. VIDELIA</t>
  </si>
  <si>
    <t>SPK/13/I/2026</t>
  </si>
  <si>
    <t>Ulp Kompi 2 Yon B</t>
  </si>
  <si>
    <t>UD. SAYANG ANAK</t>
  </si>
  <si>
    <t>SPK/15/I/2026</t>
  </si>
  <si>
    <t>Ulp Kompi 3 Yon B</t>
  </si>
  <si>
    <t>UD. TANJUNG RASA</t>
  </si>
  <si>
    <t>SPK/17/I/2026</t>
  </si>
  <si>
    <t>Ulp Kompi 1 Yon C</t>
  </si>
  <si>
    <t>UD. SORIGENDA</t>
  </si>
  <si>
    <t>SPK/19/I/2026</t>
  </si>
  <si>
    <t>Ulp Kompi 2 Yon C</t>
  </si>
  <si>
    <t>UD. AHSAN</t>
  </si>
  <si>
    <t>SPK/21/I/2026</t>
  </si>
  <si>
    <t>Ulp Kompi 3 Yon C</t>
  </si>
  <si>
    <t>KEDAI TERAPUNG SAPE</t>
  </si>
  <si>
    <t>SPK/23/I/2026</t>
  </si>
  <si>
    <t>Ulp Subden 2 Ggn</t>
  </si>
  <si>
    <t>LKP BOGA MANDALIKA</t>
  </si>
  <si>
    <t>SPK/25/I/2026</t>
  </si>
  <si>
    <t>Ulp Kediaman Kapolda Ntb</t>
  </si>
  <si>
    <t>SPK/3/I/2026</t>
  </si>
  <si>
    <t>Atk Satbrimob</t>
  </si>
  <si>
    <t>CV. MEDIA TEKNIK</t>
  </si>
  <si>
    <t>SPK/28/I/2026</t>
  </si>
  <si>
    <t>Har Gedung Mako Satbrimob</t>
  </si>
  <si>
    <t>CV. MERDEKA ABDI LANGIT</t>
  </si>
  <si>
    <t>SPK/30/II/2026</t>
  </si>
  <si>
    <t>Har Gedung Batalyon A</t>
  </si>
  <si>
    <t>SPK/32/III/2026</t>
  </si>
  <si>
    <t>Har Gedung Batalyon B</t>
  </si>
  <si>
    <t>CV. HERLI</t>
  </si>
  <si>
    <t>SPK/34/I/2026</t>
  </si>
  <si>
    <t>Har Gedung Batalyon C</t>
  </si>
  <si>
    <t>CV. YAKUZA</t>
  </si>
  <si>
    <t>SPK/36/I/2026</t>
  </si>
  <si>
    <t>Har Ranmor R4, Rantis Dan Ransus Den Gegana</t>
  </si>
  <si>
    <t>SPK/50/IV/2026</t>
  </si>
  <si>
    <t>POKJA</t>
  </si>
  <si>
    <t>KEP/11516.SLOG/III/2026</t>
  </si>
  <si>
    <t>Har Ranmor R4, Rantis Dan Ransus Sat Brimob</t>
  </si>
  <si>
    <t>TENDER</t>
  </si>
  <si>
    <t>SPPB/43/IV/2026</t>
  </si>
  <si>
    <t>ABDUL SENAN S.Sos</t>
  </si>
  <si>
    <t>197411171998031000</t>
  </si>
  <si>
    <t>KEP/11517.SLOG/III/2026</t>
  </si>
  <si>
    <t>Har Ranmor R4, Rantis Dan Ransus Batalyon A</t>
  </si>
  <si>
    <t>SPPB/45/IV/2026</t>
  </si>
  <si>
    <t>KEP/11520.SLOG/III/2026</t>
  </si>
  <si>
    <t>Har Ranmor R4, Rantis Dan Ransus Batalyon B</t>
  </si>
  <si>
    <t>RAYA BENGKEL</t>
  </si>
  <si>
    <t>SPPB/47/IV/2026</t>
  </si>
  <si>
    <t>KEP/11519.SLOG/III/2026</t>
  </si>
  <si>
    <t>Har Ranmor R4, Rantis Dan Ransus Batalyon C</t>
  </si>
  <si>
    <t>BANDUNG SERVICE</t>
  </si>
  <si>
    <t>SPPB/49/IV/2026</t>
  </si>
  <si>
    <t xml:space="preserve">DITSAMAPTA </t>
  </si>
  <si>
    <t>DEDDY FOURY MILLEWA, S.H., S.I.K., M.I.K.</t>
  </si>
  <si>
    <t>KEP/1761/XII/2023</t>
  </si>
  <si>
    <t>KEP/844/XI/2026</t>
  </si>
  <si>
    <t>28 NOPEMBER 2025</t>
  </si>
  <si>
    <t xml:space="preserve"> Ulp Non Organik Ditsamapta Polda Ntb T.A. 2026</t>
  </si>
  <si>
    <t>UD. VR. FOOD AND SNACK</t>
  </si>
  <si>
    <t>EP-01KD31X9505D5AQYZX3DAR25HV</t>
  </si>
  <si>
    <t xml:space="preserve"> Harwat R4/R6 Dan Rantis Ditsamapta Polda  Ntb T.A. 2026</t>
  </si>
  <si>
    <t>UD LINGKAR SELATAN MOTOR</t>
  </si>
  <si>
    <t>EP-01KD9TZBFBWASXP86QG0RJKHCG</t>
  </si>
  <si>
    <t xml:space="preserve"> Harwat R2 Ditsamapta Polda Ntb T.A. 2026</t>
  </si>
  <si>
    <t>CV PANCANAKA SAKTI INDONESIA</t>
  </si>
  <si>
    <t xml:space="preserve">EP-01KD33DN9Q9Q0ZFZTJJFNB0BZQ </t>
  </si>
  <si>
    <t xml:space="preserve"> Pakan Satwa Anjing Dan Kuda Ditsamapta Polda Ntb T.A. 2026</t>
  </si>
  <si>
    <t>Z.Z. PET CARE</t>
  </si>
  <si>
    <t>EP-01KDQRQCWDJD7M4X08A5H8DSWT</t>
  </si>
  <si>
    <t>ABDUL SENAN, S.Sos</t>
  </si>
  <si>
    <t>SPRIN/672/XII/LOG.4./2025</t>
  </si>
  <si>
    <t>Pengadaan Sanitasi Satwa Anjing Dan Kuda Ditsamapta Polda Ntb Ta 2026</t>
  </si>
  <si>
    <t>EP-01KDJGSX8E3DENKR4BXM1J8S1T</t>
  </si>
  <si>
    <t xml:space="preserve">DITPAMOBVIT </t>
  </si>
  <si>
    <t>I WAYAN WINYA, S.I.K., M.H.</t>
  </si>
  <si>
    <t>KEP/927/VI/2025</t>
  </si>
  <si>
    <t>KEP/973/XII/2025</t>
  </si>
  <si>
    <t>Belanja Pengadaan Jasa Catering Ulp Non Organik Dit Pamobvit Polda Ntb T.A. 2026</t>
  </si>
  <si>
    <t xml:space="preserve">EP-01KK4HRMGHC153BGJ0V7CT9WJR
</t>
  </si>
  <si>
    <t>Belanja Barang Keperluan Perkantoran (Atk) Dit Pamobvit Polda Ntb T.A. 2026</t>
  </si>
  <si>
    <t xml:space="preserve">EP-01KK4G9CKJEJBD7TZMXH9D79TY
</t>
  </si>
  <si>
    <t>Belanja Pemeliharaan Dan Perawatan Kendaraan Khusus R4 &amp; R6 Dit Pamobvit Polda Ntb T.A. 2026</t>
  </si>
  <si>
    <t xml:space="preserve">EP-01KK111NV94HDQDS72G0VAD6GB
</t>
  </si>
  <si>
    <t>Belanja Pemeliharaan Dan Perawatan Kendaraan Operasional R4 &amp; R6 Dit Pamobvit Polda Ntb T.A. 2026</t>
  </si>
  <si>
    <t>PT. WICOM MOTOR UTAMA</t>
  </si>
  <si>
    <t xml:space="preserve">EP-01KK0W0SD00EBV3JKE2RTEAXQG
</t>
  </si>
  <si>
    <t>MUHZAR, S.Kep., Ners</t>
  </si>
  <si>
    <t>Sprin/25/LOG.4./I/2026</t>
  </si>
  <si>
    <t>Belanja Modal Pengadaan Peralatan Kantor Dit Pamobvit Polda Ntb T.A. 2026</t>
  </si>
  <si>
    <t>CV. PERMATA MEDIA JAYA</t>
  </si>
  <si>
    <t xml:space="preserve"> EP-01KP0GK81A01BCTDB1HWAXBRA1</t>
  </si>
  <si>
    <t>Sprin/370/LOG.4./I/2025</t>
  </si>
  <si>
    <t>EP-01KK4HRMGHC153BGJ0V7CT9WJR</t>
  </si>
  <si>
    <t>197411171998031003</t>
  </si>
  <si>
    <t>EP-01KK4G9CKJEJBD7TZMXH9D79TY</t>
  </si>
  <si>
    <t xml:space="preserve">DITPOLAIRUD </t>
  </si>
  <si>
    <t>BOYKE F. S. SAMOLA, S.I.K., M.H.</t>
  </si>
  <si>
    <t>KEP/938/XII/2025</t>
  </si>
  <si>
    <t xml:space="preserve">Jasa Harwat Alat Angkut Air/Alpung Dit Polairud </t>
  </si>
  <si>
    <t>CV. SELECTA JAYA MARINE</t>
  </si>
  <si>
    <t>EP-01KG6SYPEQ8V3492ZS350VTBG6</t>
  </si>
  <si>
    <t>I GUSTI NGURAH PARTHA, S.H.</t>
  </si>
  <si>
    <t>AIPDA</t>
  </si>
  <si>
    <t>SPRIN/579/XII/LOG.4./2025</t>
  </si>
  <si>
    <t>Ulp Non Organik Dit Polairud</t>
  </si>
  <si>
    <t>CATERING BAROKAH</t>
  </si>
  <si>
    <t>EP-01KE4D68YN156C658VE1MZ6P4G</t>
  </si>
  <si>
    <t xml:space="preserve">Keperluan Perkantoran/Atk Dit Polairud </t>
  </si>
  <si>
    <t>EP-01KFJYZ37079ZTHKR3CBTR9P0M</t>
  </si>
  <si>
    <t>Harwat Kendaraan Roda 4/6 Dit Polairud</t>
  </si>
  <si>
    <t>UD. BALI MOTOR</t>
  </si>
  <si>
    <t>EP-01KKESJ74SK6K0N9WKM8065H7D</t>
  </si>
  <si>
    <t xml:space="preserve">BIDPROPAM </t>
  </si>
  <si>
    <t>WILDAN ALBERD., S.I.K M.K.P</t>
  </si>
  <si>
    <t>Nomor:Kep/582/VII/2025</t>
  </si>
  <si>
    <t>MUNANDAR., S.H., M.H.</t>
  </si>
  <si>
    <t>Nomor:Sprin/1763/XII/KEP/2025</t>
  </si>
  <si>
    <t>Nomor:Sprin/1764/XII/KEP/2025</t>
  </si>
  <si>
    <t>Ulp Non Organik Bidpropam</t>
  </si>
  <si>
    <t>118,625,000</t>
  </si>
  <si>
    <t>CV. VR FOOD AND SNACK</t>
  </si>
  <si>
    <t>EP-01KDSFRVZZP159Z3GGT7NJYSTN</t>
  </si>
  <si>
    <t>Harwat R4 Bidpropam</t>
  </si>
  <si>
    <t>122,400,000</t>
  </si>
  <si>
    <t>UD.WICOM UTAMA</t>
  </si>
  <si>
    <t>EP-01KDSPMGE67HNKGQX9SS5BYE25</t>
  </si>
  <si>
    <t xml:space="preserve">Atk Bidpropam </t>
  </si>
  <si>
    <t>90,770,000</t>
  </si>
  <si>
    <t>PT.SEKARING QUANTA ENERGI</t>
  </si>
  <si>
    <t>EP-01KDTCBYX3JGXKEBB358RB282</t>
  </si>
  <si>
    <t xml:space="preserve">BIDHUMAS </t>
  </si>
  <si>
    <t>MOHAMMAD KHOLID, S.I.K., M.M.</t>
  </si>
  <si>
    <t>KEP/1608/IX/2024</t>
  </si>
  <si>
    <t>KEP/937/XII/2025</t>
  </si>
  <si>
    <t>SPRIN/86/I/LOG.4./2026</t>
  </si>
  <si>
    <t>Pengadaan Cetak Mahalah Tribrata News Polda Ntb Ta 2026</t>
  </si>
  <si>
    <t>UD. SINAR JAYA</t>
  </si>
  <si>
    <t>EP-01KHZB185SS9ZZP3BDXJHFRX6D</t>
  </si>
  <si>
    <t>SPRIN/87/I/LOG.4./2026</t>
  </si>
  <si>
    <t>Pengadaan Harwat Kendaraan Roda 4</t>
  </si>
  <si>
    <t>CV. LIGHT</t>
  </si>
  <si>
    <t>EP-01KGSAM75JRMAA03GM36GB8481</t>
  </si>
  <si>
    <t>BAYU ADI BASKARA SH</t>
  </si>
  <si>
    <t>SPRIN/162/XII/LOG.4./2026</t>
  </si>
  <si>
    <t>Pengadaan Makan Konferensi Pers Bidhumas Polda Ntb</t>
  </si>
  <si>
    <t>UD. VR FOOD AND SNACK</t>
  </si>
  <si>
    <t>EP-01KDS9BHAQ3GP21KK5TVVXDXNP</t>
  </si>
  <si>
    <t xml:space="preserve">BIDKUM </t>
  </si>
  <si>
    <t>ABDUL  AZAS SIAGIAN, S.H., M.H.</t>
  </si>
  <si>
    <t>KEP/815/VI/2018</t>
  </si>
  <si>
    <t>KEP/984/XII/2025</t>
  </si>
  <si>
    <t>SPRIN/18/I/KEP./2026</t>
  </si>
  <si>
    <t>CV LINGKAR SELATAN MOTOR</t>
  </si>
  <si>
    <t>EP-01KFZBR22911HEGAWADJMQFPXZ</t>
  </si>
  <si>
    <t xml:space="preserve">BID TIK </t>
  </si>
  <si>
    <t>YAYAN  HARTADI, S.I.K.</t>
  </si>
  <si>
    <t>KEP/45/I/2026</t>
  </si>
  <si>
    <t>Pengadaan Jasa Telekomunikasi Internet, Intranet Dan Vpn Ip T.A 2026</t>
  </si>
  <si>
    <t>PT. TELKOM INDONESIA</t>
  </si>
  <si>
    <t>EP-01KDZJZB8RC32RZHE7KCF81R7V</t>
  </si>
  <si>
    <t>Pengadaan Jasa Telekomunikasi Layanan Data Gsm T.A 2026</t>
  </si>
  <si>
    <t>PT. TELKOMSEL</t>
  </si>
  <si>
    <t>EP-01KG1XEXKYWH72DA0A6TQMYARF</t>
  </si>
  <si>
    <t>Pengadaan Jasa Harwat Alkom Dan Tower Sst T.A 2026</t>
  </si>
  <si>
    <t>PT. LIMA BRAVO</t>
  </si>
  <si>
    <t>EP-01KEE2PEBPD5YTAXNZCGTGPPM9</t>
  </si>
  <si>
    <t>Pengadaan Jasa Harwat Command Center Dan 110 T.A 2026</t>
  </si>
  <si>
    <t>PT. CIPTA SARANA MATARAM</t>
  </si>
  <si>
    <t>EP-01KEGTX4N0S0V19YY2F6M72RA6</t>
  </si>
  <si>
    <t>Pengadaan Jasa Harwat Ranmor R4 Dan R4 Double Gardan T.A 2026</t>
  </si>
  <si>
    <t>PT. LIGHT</t>
  </si>
  <si>
    <t>EP-01KEZYA3Y4FWFJDQC7THSJBHQH</t>
  </si>
  <si>
    <t>SPRIN/171/XII/LOG.4./2025</t>
  </si>
  <si>
    <t>Pengadaan Alat Tulis Kantor (Atk) T.A 2026</t>
  </si>
  <si>
    <t>PT. REKAN JAYA ABADI</t>
  </si>
  <si>
    <t>EP-01KEH5939B9JHEWAF5ASGEZTT3</t>
  </si>
  <si>
    <t xml:space="preserve">BIDDOKKES </t>
  </si>
  <si>
    <t>dr. I KOMANG TRESNA, Sp. OG (K)., M.A.R.S., M.H.Kes.</t>
  </si>
  <si>
    <t>KEP/465/III/2025</t>
  </si>
  <si>
    <t>MUNANDAR, S.H., M.H.</t>
  </si>
  <si>
    <t>Sprin/459/XI/log.4./2025</t>
  </si>
  <si>
    <t>Pengadaan Obat Habis Pakai Poliklinik Polda Dan Polres Jajaran Ta 2026</t>
  </si>
  <si>
    <t>BANYUWANGI PHARMA UTAMA</t>
  </si>
  <si>
    <t>EP-01KHWTMPF8D1R8X3K0CNMWAG55</t>
  </si>
  <si>
    <t>Pengadaan Rikkes Berkala Personel Polri/Asn Polri Polda Ntb Ta 2026</t>
  </si>
  <si>
    <t>MITRA HUSADA ARTHAJAYA</t>
  </si>
  <si>
    <t>EP-01KETTQDY3TRVS33AFDBMH3EN5</t>
  </si>
  <si>
    <t>Pembangunan Gedung Poliklinik Polda Ntb Anggaran Pnbp Tahun Anggaran 2026 Biddokkes Polda Ntb</t>
  </si>
  <si>
    <t>PT. LOMBOK BALI SUMBAWA</t>
  </si>
  <si>
    <t>SP/26 /III/LOG.4./2026/Biddokkes</t>
  </si>
  <si>
    <t>Muhzar</t>
  </si>
  <si>
    <t>Kep/1100Slog/II/2026</t>
  </si>
  <si>
    <t xml:space="preserve">MUH. SAUFI HAQIQI </t>
  </si>
  <si>
    <t>Bayu Adi Baskara</t>
  </si>
  <si>
    <t>MUHZAR</t>
  </si>
  <si>
    <t>Sprin/519/XI/log.4./2025</t>
  </si>
  <si>
    <t>Pengadaan Keperluan Perkantoran Biddokkes Polda Ntb Anggaran Rm Ta 2026</t>
  </si>
  <si>
    <t>ALGEA AMALUKA SHOLEHA</t>
  </si>
  <si>
    <t>EP-01KG6B0DV0BK8AS2XR279K362Y</t>
  </si>
  <si>
    <t>Renovasi Poliklinik Polres Lombok Tengah Ta 2026</t>
  </si>
  <si>
    <t xml:space="preserve">CV KALEMBO ADE MAUTAMA </t>
  </si>
  <si>
    <t>SPK/ 35 /IV/LOG.4./2026/Biddokkes</t>
  </si>
  <si>
    <t xml:space="preserve">Pembangunan Gudang Matfaskes Biddokkes Polda Ntb Ta 2026 </t>
  </si>
  <si>
    <t>SPK/ 31 /III/LOG.4./2026/Biddokkes</t>
  </si>
  <si>
    <t>Sprin/446/XI/log.4./2025</t>
  </si>
  <si>
    <t>Jasa Konsultan Pengawasan Pembangunan Gedung Poliklinik Polda Ntb  Ta 2026</t>
  </si>
  <si>
    <t xml:space="preserve">CV. ASTRID BINA UTAMA </t>
  </si>
  <si>
    <t>SPMK/ 30 /III/LOG.4./2026/Biddokkes</t>
  </si>
  <si>
    <t>Jasa Konsultan Pengawasan Pembangunan Gudang Matfaskes Biddokkes Polda Ntb Ta 2026</t>
  </si>
  <si>
    <t>SPMK/ 34/III/LOG.4./2026/Biddokkes</t>
  </si>
  <si>
    <t>Jasa Konsultan Pengawasan Renovasi Poliklinik Polres Lombok Tengah Anggaran Pnbp Tahun Anggaran 2026 Biddokkes Polda Ntb.</t>
  </si>
  <si>
    <t>SPK/ 37  /III/LO4./2026/Biddokkes</t>
  </si>
  <si>
    <t>Jasa Konsultan  Perencanaan Pembangunan Gedung Poliklinik Polda Ntb  Ta 2026</t>
  </si>
  <si>
    <t>CV ADI CIPTA</t>
  </si>
  <si>
    <t>SPK/01/I/LOG.4./2026/Biddokkes</t>
  </si>
  <si>
    <t>Jasa Konsultan  Perencanaan Pembangunan Gudang Matfaskes Biddokkes Polda Ntb Ta 2026</t>
  </si>
  <si>
    <t xml:space="preserve">SPK/02/I/LOG.4./2026/Biddokkes
</t>
  </si>
  <si>
    <t>Jasa Konsultan  Perencanaan Renovasi Poliklinik Polres Lombok Tengah Anggaran Pnbp Tahun Anggaran 2026 Biddokkes Polda Ntb.</t>
  </si>
  <si>
    <t>10,084,000</t>
  </si>
  <si>
    <t>SPK/08/I/LOG.4./2026/Biddokkes</t>
  </si>
  <si>
    <t>Pengadaan Bhp Poliklinik Polda Dan Polres Jajaran Polda Ntb Ta 2026</t>
  </si>
  <si>
    <t>EP-01KEX9966KANWCW4D92RZS9JKG</t>
  </si>
  <si>
    <t>Pengadaan Ulp Non Organik/Jaga Fungsi Anggaran Rm Biddokkes Polda Ntb Ta 2026</t>
  </si>
  <si>
    <t>CATERING SUPRIYATNO</t>
  </si>
  <si>
    <t>EP-01KDVDS8FFRDCYQ89JGHGC1YW8</t>
  </si>
  <si>
    <t xml:space="preserve">PENGADAAN ALKES DENTAL UNIT FKTP BIDDOKKES POLDA NTB TA 2026
</t>
  </si>
  <si>
    <t>PT.BINTANG MANDIRI MEDICA</t>
  </si>
  <si>
    <t>SPK/ 39/V/LO4./2026/Biddokkes</t>
  </si>
  <si>
    <t>PENGADAAN ALKES STETOSCOPE  FKTP BIDDOKKES POLDA NTB TA 2026</t>
  </si>
  <si>
    <t>ABADINUSA USAHASEMESTA</t>
  </si>
  <si>
    <t>EP-01KQDRF0WDF7RD5R7BKZERYCKF</t>
  </si>
  <si>
    <t>PENGADAAN ALKES OTOSCOPE  FKTP BIDDOKKES POLDA NTB TA 2026</t>
  </si>
  <si>
    <t>PT. KARSA MANDIRI ALKESINDO</t>
  </si>
  <si>
    <t>PENGADAAN LAPTOP KEBUTUHAN FKTP BIDDOKKES POLDA NTB TA 2026</t>
  </si>
  <si>
    <t xml:space="preserve">AYOOKLIK AIRMAS INTERNUSA </t>
  </si>
  <si>
    <t>EP-01KQDPJ3E15TJ90P7BC58VFY1W</t>
  </si>
  <si>
    <t xml:space="preserve">BIDKEU </t>
  </si>
  <si>
    <t>IDA AYUWIKARNITI, S.E.</t>
  </si>
  <si>
    <t>KEP/121/II/2026</t>
  </si>
  <si>
    <t>KEBUTUHAN FKTP</t>
  </si>
  <si>
    <t xml:space="preserve">ABDUL SENAN, S.Sos. </t>
  </si>
  <si>
    <t>1974111719980310002</t>
  </si>
  <si>
    <t>SPRIN/1807/XII/LOG.4./2025</t>
  </si>
  <si>
    <t>BIDDOKKES POLDA NTB</t>
  </si>
  <si>
    <t>PT WICOM UTAMA</t>
  </si>
  <si>
    <t xml:space="preserve">EP-01KG74K2N16VM5S27QV5Y2TE6J
</t>
  </si>
  <si>
    <t>SPRIN/1808/XII/LOG.4./2025</t>
  </si>
  <si>
    <t>TA 2026</t>
  </si>
  <si>
    <t>CV TRIWI</t>
  </si>
  <si>
    <t>EP-01KG1G205CK02ZEJ65KTBP2THY</t>
  </si>
  <si>
    <t xml:space="preserve">SPN </t>
  </si>
  <si>
    <t>HERU MUSLIMIN, S.I.K., M.I.P.</t>
  </si>
  <si>
    <t>KEP/967/XII/2025</t>
  </si>
  <si>
    <t>Semua Paket</t>
  </si>
  <si>
    <t>Keperluan Perkantoran Spn Polda Ntb T.A. 2026</t>
  </si>
  <si>
    <t>UD. AL-KAUTSAR</t>
  </si>
  <si>
    <t>EP-01KGYD2HGZAXFRWKP6PSHV57GZ</t>
  </si>
  <si>
    <t>Pengadaan Jasa Catering Dikbangspes Spn Polda Ntb T.A. 2026</t>
  </si>
  <si>
    <t>UD. DUTA YULINDRA</t>
  </si>
  <si>
    <t>EP-01KEHFQJVQAQBQT86FTSQNER00</t>
  </si>
  <si>
    <t>Pengadaan Jasa Catering Pelatihan Fungsi Spn Polda Ntb T.A. 2026</t>
  </si>
  <si>
    <t>EP-01KEHMP4Y8ETHWQ8XA11V6B5N7</t>
  </si>
  <si>
    <t>Pemeliharaan Dan Perawatan Ranmor R4/R6 Spn Polda Ntb T.A. 2026</t>
  </si>
  <si>
    <t>UD. ADITYA MOTOR</t>
  </si>
  <si>
    <t>EP-01KEVTKQWQ2PWBNFGACNZ3S470</t>
  </si>
  <si>
    <t>SPRIN/269/XII/KEP./2025</t>
  </si>
  <si>
    <t>Ulp Non Organik Spn Polda Ntb T.A. 2026</t>
  </si>
  <si>
    <t>EP-01KDSW8TYJQ3WQ2AA8QBE0YQ3N</t>
  </si>
  <si>
    <t>KEP/10762.Slog/I/2026</t>
  </si>
  <si>
    <t>Pemeliharaan Dan Perawatan Halaman, Taman/Pekarangan, Pagar Dan Lainnya Spn Polda Ntb T.A. 2026</t>
  </si>
  <si>
    <t>CV. ANGGINA KUSUMA</t>
  </si>
  <si>
    <t>SPPB/7/II/2026/SPN</t>
  </si>
  <si>
    <t>KEP/11328.Slog/II/2026</t>
  </si>
  <si>
    <t>Pemeliharaan Dan Perawatan Gedung Spn Spn Polda Ntb T.A. 2026</t>
  </si>
  <si>
    <t>CV. SATU NUSA</t>
  </si>
  <si>
    <t>SP/10/III/2026/SPN</t>
  </si>
  <si>
    <t>KEP/11328.Slog/II/2027</t>
  </si>
  <si>
    <t xml:space="preserve">YANMA </t>
  </si>
  <si>
    <t>ANAK AGUNG GEDE AGUNG, SH</t>
  </si>
  <si>
    <t>AKBP</t>
  </si>
  <si>
    <t>KEP/197/III/2024</t>
  </si>
  <si>
    <t>KEP/822/XI/2025</t>
  </si>
  <si>
    <t>Jasa Pramubhakti Dan Cleaning Service Polda Ntb Ta 2026</t>
  </si>
  <si>
    <t>PT TRI SATYA DHARMA UTAMA</t>
  </si>
  <si>
    <t>EP-01KCNZPEWWAH8DJ9GBRRKPV8B5</t>
  </si>
  <si>
    <t>SPRIN/179/XI/LOG.4.2/2025</t>
  </si>
  <si>
    <t>Harwat Satker Rorena Dan Rbp Ta. 2026</t>
  </si>
  <si>
    <t>CV. DHILA TERANG TERUS</t>
  </si>
  <si>
    <t>SPK/147/XII/LOG.4./2025/YANMA</t>
  </si>
  <si>
    <t>SPRIN/180/XI/LOG.4.2/2025</t>
  </si>
  <si>
    <t>Pengadaan Ulp Non Organik Ta 2026</t>
  </si>
  <si>
    <t>UD.VOOD AND SNACK</t>
  </si>
  <si>
    <t>EP-01KCGR8TPXRMTCXDHVQAD14WF2</t>
  </si>
  <si>
    <t>SPRIN/181/XI/LOG.4.2/2025</t>
  </si>
  <si>
    <t>Harwat Rumjab Kapolda Dan Wakapolda Ntb Ta 2026</t>
  </si>
  <si>
    <t>CV FADHIL BERSAUDARA</t>
  </si>
  <si>
    <t>SPK/146/XII/LOG.4./2025/YANMA</t>
  </si>
  <si>
    <t>SPRIN/182/XI/LOG.4.2/2025</t>
  </si>
  <si>
    <t>Harwat Instalasi Listrik Gedung Mako Polda Ntb Ta 2026</t>
  </si>
  <si>
    <t>PT SEMETON LISTRIK ELEKTRIKAL</t>
  </si>
  <si>
    <t>EP-01KCRF1A03PPG0TTC79VQ4G4BA</t>
  </si>
  <si>
    <t>SPRIN/183/XI/LOG.4.2/2025</t>
  </si>
  <si>
    <t>Harwat Ranmor R4 Dan R6 Ta 2026</t>
  </si>
  <si>
    <t>CV LINGKAR SELATAN</t>
  </si>
  <si>
    <t>EP-01KCV6SK2C4KWSRHGSX46DG858</t>
  </si>
  <si>
    <t>SPRIN/184/XI/LOG.4.2/2025</t>
  </si>
  <si>
    <t>Har Gedung Tambahan Satker Polda Ntb Ta 2026</t>
  </si>
  <si>
    <t>SPK/145/XII/LOG.4./2025/YANMA</t>
  </si>
  <si>
    <t>SPRIN/186/XI/LOG.4.2/2025</t>
  </si>
  <si>
    <t>Harwat Lapangan Tribun Bharadaksa</t>
  </si>
  <si>
    <t>SPK/149/XII/LOG.4./2025/YANMA</t>
  </si>
  <si>
    <t>SPRIN/187/XI/LOG.4.2/2025</t>
  </si>
  <si>
    <t>Jasa Konsultansi Pengawas Har Gedung Polda Ntb Ta 2026</t>
  </si>
  <si>
    <t>CV WAZU UTAMA KONSULTAN</t>
  </si>
  <si>
    <t>SPK/46/II/LOG.2./2026/YANMA</t>
  </si>
  <si>
    <t>SPRIN/188/XI/LOG.4.2/2025</t>
  </si>
  <si>
    <t>Jasa Kosultansi Perencana Har Gedung Kantor Polda Ntb Ta 2026</t>
  </si>
  <si>
    <t>CV REPLICA</t>
  </si>
  <si>
    <t>SPK/148/XII/LOG.2./2025/YANMA</t>
  </si>
  <si>
    <t>Pemeliharaan Dan Perawatan Gedung Kantor Polda Ntb Ta 2026</t>
  </si>
  <si>
    <t>PT NURFITA KARYA MANDIRI</t>
  </si>
  <si>
    <t>SP/43/II/LOG.4./2026/YANMA</t>
  </si>
  <si>
    <t>MUH SAUFI HAQIQI</t>
  </si>
  <si>
    <t>RUMKIT BHAYANGKARA MATARAM</t>
  </si>
  <si>
    <r>
      <rPr>
        <sz val="11"/>
        <rFont val="Arial Narrow"/>
      </rPr>
      <t xml:space="preserve">drg. FEBRIADI ROSMANATO, </t>
    </r>
    <r>
      <rPr>
        <u/>
        <sz val="11"/>
        <color rgb="FF1155CC"/>
        <rFont val="Arial Narrow"/>
      </rPr>
      <t>Sp.BM</t>
    </r>
  </si>
  <si>
    <t>KEP/7723/X/2025</t>
  </si>
  <si>
    <t>Abdul Senan, S.Sos</t>
  </si>
  <si>
    <t>Sprin/906/XII/LOG.4.3./2025</t>
  </si>
  <si>
    <t>Jasa Mitra Cleaning Servicerumkit Bhayangkara Mataram Ta 2026</t>
  </si>
  <si>
    <t>TRISATYA DHARMA UTAMA</t>
  </si>
  <si>
    <t>EP-01KDQAJSB3EXWXX0W1RKWTNFTP</t>
  </si>
  <si>
    <t>Pengadaan Makan Jaga Tkk Rumkit Bhayangkara Mataram Ta 2026</t>
  </si>
  <si>
    <t>Catering pak Yono</t>
  </si>
  <si>
    <t>EP-01KDT8QAAVBTDD1ZW2B2Q1TZDK</t>
  </si>
  <si>
    <t>Biaya Pembuangan Limbah Padat B3 Rs Bhayangkara Mataram Ta 29026</t>
  </si>
  <si>
    <t>UNIVERSAL ECO PASIFIC</t>
  </si>
  <si>
    <t>EP-01KEV4W1YAQEP0TFWBWCW4DMRD</t>
  </si>
  <si>
    <t>Pengadaan Alkes Phecometer Rumkit Bhayangkara Mataram Ta 2026</t>
  </si>
  <si>
    <t>1,190,419,500</t>
  </si>
  <si>
    <t>PT OPMIC PERKASA MANDIRI</t>
  </si>
  <si>
    <t>EP-01KKFV7E5Q7W7PC240F9XDQ51H</t>
  </si>
  <si>
    <t>Pengadaan Alat Kesehatan Ophthalmic Operating Microscope Rs. Bhayangkara Mataram Ta 2026</t>
  </si>
  <si>
    <t>UNIVERSAL STAR MULTILINK</t>
  </si>
  <si>
    <t>EP-01KKFSZ5DG75J5T9KSRJ8STGH5</t>
  </si>
  <si>
    <t>KADEK SRI PARWATI, Amd.Gz, SKM., M.I.Kom.</t>
  </si>
  <si>
    <t>197202041996032002</t>
  </si>
  <si>
    <t>Sprin/914/XII/LOG.4./2025</t>
  </si>
  <si>
    <t>Pengadaan Ulp Non Organik Piket Jaga Fungsi Rumkit Bhayangkara Mataram Ta 2026</t>
  </si>
  <si>
    <t>EP-01KDTCR5Q1ZFHS12M66NDNF177</t>
  </si>
  <si>
    <t>Jasa Outsoursing Satpam Rumkit Bhayangkara Mataram Ta 2026</t>
  </si>
  <si>
    <t>EP-01KDY42QTWBTEH9YY6B75CERST</t>
  </si>
  <si>
    <t>Pengadaan Keperluan perkantoran Rumkit Bhayangkara Mataram Ta 2026</t>
  </si>
  <si>
    <t>GOONESIA KREATIF GROUP</t>
  </si>
  <si>
    <t>EP-01KFD0BSG9MVQ75MYX7YFRCJWW</t>
  </si>
  <si>
    <t>Pengadaan Obat Habis Pakai Rumkit Bhayangkara Mataram Ta 2026</t>
  </si>
  <si>
    <t>PT Millennium Pharmacon International</t>
  </si>
  <si>
    <t>EP-01KFJ4FKMWHTS5ZY5128F7CEGV</t>
  </si>
  <si>
    <t>197202041996032003</t>
  </si>
  <si>
    <t>BERLIANDO MITRA ABADI</t>
  </si>
  <si>
    <t>EP-01KFJ6C474XY7NDHFYQFZJ9H7N</t>
  </si>
  <si>
    <t>197202041996032004</t>
  </si>
  <si>
    <t>PT. Anugerah Pharmindo Lestari</t>
  </si>
  <si>
    <t>EP-01KFJ4W83PGC57CS183QSP6ZTE</t>
  </si>
  <si>
    <t>197202041996032005</t>
  </si>
  <si>
    <t>PT Anugrah Argon Medica</t>
  </si>
  <si>
    <t>EP-01KFACH1YZYY2S0BB74S49B72Q</t>
  </si>
  <si>
    <t>197202041996032006</t>
  </si>
  <si>
    <t>EP-01KFHSECR81SNK016V05G5J392</t>
  </si>
  <si>
    <t>197202041996032007</t>
  </si>
  <si>
    <t>EP-01KFHV59GKTKN2S2NC6YB00K0W</t>
  </si>
  <si>
    <t>197202041996032008</t>
  </si>
  <si>
    <t>EP-01KFHW4C8Y4659B5CRVEGRTPHA</t>
  </si>
  <si>
    <t>197202041996032009</t>
  </si>
  <si>
    <t>EP-01KFHWG813XBJZ6Q84P5BFEEPH</t>
  </si>
  <si>
    <t>197202041996032010</t>
  </si>
  <si>
    <t>RIDHO ILAHI FARMA</t>
  </si>
  <si>
    <t>EP-01KFF7JR2D73DNA27Q890ZXH9S</t>
  </si>
  <si>
    <t>197202041996032011</t>
  </si>
  <si>
    <t>EP-01KFFJ070QPYK47W5QETVAJQPY</t>
  </si>
  <si>
    <t>197202041996032012</t>
  </si>
  <si>
    <t>PT Enseval Putera Megatrading</t>
  </si>
  <si>
    <t>EP-01KEZT6ZWDWYPTC3Z43MTXJBQM</t>
  </si>
  <si>
    <t>197202041996032013</t>
  </si>
  <si>
    <t>EP-01KFA29905VPRSW66GF9FQGRM3</t>
  </si>
  <si>
    <t>197202041996032014</t>
  </si>
  <si>
    <t>EP-01KFCH1WFAYDDWGJ5S1MZE64EF</t>
  </si>
  <si>
    <t>197202041996032015</t>
  </si>
  <si>
    <t>EP-01KFCKY2V6F2KZ6AVDF5DRRBG2</t>
  </si>
  <si>
    <t>197202041996032016</t>
  </si>
  <si>
    <t>EP-01KFCNYWPWZ2R2XNKQAM2WGA8B</t>
  </si>
  <si>
    <t>197202041996032017</t>
  </si>
  <si>
    <t>PT Parit Padang Global</t>
  </si>
  <si>
    <t>EP-01KFA3J1VGDT0VJ8GN6MNGH9BM</t>
  </si>
  <si>
    <t>197202041996032018</t>
  </si>
  <si>
    <t>EP-01KEZN654S7SK0MDMD55A3T103</t>
  </si>
  <si>
    <t>197202041996032019</t>
  </si>
  <si>
    <t>EP-01KFCTC9WD3KP72CVF492HC570</t>
  </si>
  <si>
    <t>197202041996032020</t>
  </si>
  <si>
    <t>EP-01KFD1DW7NHDD6RP6B6CV6AT76</t>
  </si>
  <si>
    <t>197202041996032021</t>
  </si>
  <si>
    <t>EP-01KFAE7E10B8520XHM1R9SGJXN</t>
  </si>
  <si>
    <t>197202041996032022</t>
  </si>
  <si>
    <t>EP-01KFCS9B3M70RT6SNQA8VHQRZP</t>
  </si>
  <si>
    <t>197202041996032023</t>
  </si>
  <si>
    <t>EP-01KFCMHV326HB6MPBE5RRHVRWM</t>
  </si>
  <si>
    <t>197202041996032024</t>
  </si>
  <si>
    <t>Pengadaan Pc Rumkit Bhayangkara Mataram Ta 2026</t>
  </si>
  <si>
    <t>CIPTA SARANA MATARAM</t>
  </si>
  <si>
    <t>EP-01KF28SVA1N0B85AC315WE2C1M</t>
  </si>
  <si>
    <t>197202041996032025</t>
  </si>
  <si>
    <t>EP-01KEX4F62Z83XFW4XV7WFPAXHE</t>
  </si>
  <si>
    <t>197202041996032026</t>
  </si>
  <si>
    <t>PT ADYA ARTHA ABADI DENPASAR</t>
  </si>
  <si>
    <t>EP-01KERCAY9SAAJAYANJSRMSDNJ7</t>
  </si>
  <si>
    <t>197202041996032027</t>
  </si>
  <si>
    <t>EP-01KETMH40D9MJJZ9CZP4CSJ32W</t>
  </si>
  <si>
    <t>197202041996032028</t>
  </si>
  <si>
    <t>PT. Bintang Shafwan</t>
  </si>
  <si>
    <t>EP-01KEV1JTSYWRFNNY0DWM2V07E7</t>
  </si>
  <si>
    <t>197202041996032029</t>
  </si>
  <si>
    <t>EP-01KER6PRTZM1PYH68NPYD5MQ4T</t>
  </si>
  <si>
    <t>197202041996032030</t>
  </si>
  <si>
    <t>EP-01KETE6NQH2KEA9Q28DNPSVN8G</t>
  </si>
  <si>
    <t>197202041996032031</t>
  </si>
  <si>
    <t>1,446,996</t>
  </si>
  <si>
    <t>EP-01KETK62H3X6DWGBQ3DVGVHH22</t>
  </si>
  <si>
    <t>197202041996032032</t>
  </si>
  <si>
    <t>EP-01KEGTPC9FYNHAE8B0G95RD3PC</t>
  </si>
  <si>
    <t>197202041996032033</t>
  </si>
  <si>
    <t>1,569,984</t>
  </si>
  <si>
    <t>EP-01KEQWXEQNYPKAZDZYAV7GG5EP</t>
  </si>
  <si>
    <t>197202041996032034</t>
  </si>
  <si>
    <t>EP-01KEGHHBZBXSWXSB3NTAPC9WAG</t>
  </si>
  <si>
    <t>197202041996032035</t>
  </si>
  <si>
    <t>PT. SAPTA SARI TAMA</t>
  </si>
  <si>
    <t>EP-01KEDNGDR469GEMYJSV1JG5N5P</t>
  </si>
  <si>
    <t>197202041996032036</t>
  </si>
  <si>
    <t>E-Pl Harwat Gedung Rumkit Bhayangkara Mataram Ta 2026</t>
  </si>
  <si>
    <t>CV. PANDAWA LIMA</t>
  </si>
  <si>
    <t>SPK/06/I/LOG.4./2026/ Rumkit</t>
  </si>
  <si>
    <t>197202041996032037</t>
  </si>
  <si>
    <t>EP-01KFJ3XQ209FD9H9AF78AV3Y9Q</t>
  </si>
  <si>
    <t>197202041996032038</t>
  </si>
  <si>
    <t>BINA SAN PRIMA</t>
  </si>
  <si>
    <t>EP-01KFHQ1SMAJ1Z970J7APBVTFV6</t>
  </si>
  <si>
    <t>197202041996032039</t>
  </si>
  <si>
    <t>EP-01KFYRSDR0CRW9FWMHR12WG3ZM</t>
  </si>
  <si>
    <t>197202041996032040</t>
  </si>
  <si>
    <t>PT. Merapi utama Pharma</t>
  </si>
  <si>
    <t>EP-01KFMAJW3WQ01B3N55VT9AC2C9</t>
  </si>
  <si>
    <t>197202041996032041</t>
  </si>
  <si>
    <t>EP-01KFW00RFSV7JN0ZQ2HGZEA4S9</t>
  </si>
  <si>
    <t>197202041996032042</t>
  </si>
  <si>
    <t>EP-01KFVVV3C7YT6Q6CFS3CGEG2XC</t>
  </si>
  <si>
    <t>197202041996032043</t>
  </si>
  <si>
    <t>EP-01KFMF45Z175SRRS0X6YQYZDQ5</t>
  </si>
  <si>
    <t>197202041996032044</t>
  </si>
  <si>
    <t>EP-01KFW0CSPBY95TY0XGTN2REZ55</t>
  </si>
  <si>
    <t>197202041996032045</t>
  </si>
  <si>
    <t>PT. Kimia Farma Trading &amp; DIstribution</t>
  </si>
  <si>
    <t>EP-01KFYPT1R7FW0ZS98T85TNQBM8</t>
  </si>
  <si>
    <t>197202041996032047</t>
  </si>
  <si>
    <t>EP-01KFMJBZPQPZTHQ559MBXXRX5W</t>
  </si>
  <si>
    <t>197202041996032048</t>
  </si>
  <si>
    <t>EP-01KFYS62ZHC1DWMWMGNST18J7P</t>
  </si>
  <si>
    <t>197202041996032049</t>
  </si>
  <si>
    <t>EP-01KFW5AMFM7RSFBTHZJ68WXJN</t>
  </si>
  <si>
    <t>197202041996032050</t>
  </si>
  <si>
    <t>EP-01KFW345WK7YM7PSPYWF0QHEZY•</t>
  </si>
  <si>
    <t>197202041996032051</t>
  </si>
  <si>
    <t>EP-01KFW2RNVYPDB0Z5AK1Y1KH10V</t>
  </si>
  <si>
    <t>197202041996032052</t>
  </si>
  <si>
    <t>SPK/1/I/LOG.4./2026 tgl 6/1/2026</t>
  </si>
  <si>
    <t>197202041996032053</t>
  </si>
  <si>
    <t>SPK/2/I/LOG.4./2026 tgl 9/1/2026</t>
  </si>
  <si>
    <t>197202041996032054</t>
  </si>
  <si>
    <t>21,753,930</t>
  </si>
  <si>
    <t>SPK/3/I/LOG.4./2026 tgl 9/1/2026</t>
  </si>
  <si>
    <t>197202041996032055</t>
  </si>
  <si>
    <t>SPK/4/I/LOG.4./2026 tgl 12/1/2026</t>
  </si>
  <si>
    <t>197202041996032056</t>
  </si>
  <si>
    <t>PT.SABA</t>
  </si>
  <si>
    <t>SPK/5/I/LOG.4./2026 tgl 19/1/2026</t>
  </si>
  <si>
    <t>197202041996032057</t>
  </si>
  <si>
    <t>SPK/9/I/LOG.4./2026 tgl 20/1/2026</t>
  </si>
  <si>
    <t>197202041996032058</t>
  </si>
  <si>
    <t>SPK/9/I/LOG.4./2026 tgl 21/1/2026</t>
  </si>
  <si>
    <t>197202041996032059</t>
  </si>
  <si>
    <t>Pengadaan Gas Medis Habis Pakai Rumkit Bhayangkara Mataram Ta 2026</t>
  </si>
  <si>
    <t>PT BBS</t>
  </si>
  <si>
    <t>SPK/12/I/LOG.4./2026 tgl 9/1/2026</t>
  </si>
  <si>
    <t>197202041996032060</t>
  </si>
  <si>
    <t>38,241,500</t>
  </si>
  <si>
    <t>SPK/13/I/LOG.4./2026 tgl 9/1/2026</t>
  </si>
  <si>
    <t>197202041996032061</t>
  </si>
  <si>
    <t>SPK/14/I/LOG.4./2026 tgl 9/1/2026</t>
  </si>
  <si>
    <t>197202041996032062</t>
  </si>
  <si>
    <t>SPK/15/I/LOG.4./2026 tgl 14/1/2026</t>
  </si>
  <si>
    <t>197202041996032063</t>
  </si>
  <si>
    <t>Pengadaan Bahan Makan Pasien Januari 2026</t>
  </si>
  <si>
    <t>Koperasi KHB</t>
  </si>
  <si>
    <t>SPK/17/I/LOG.4./2026 tgl 1/1/ 2026</t>
  </si>
  <si>
    <t>197202041996032064</t>
  </si>
  <si>
    <t>1,356,005</t>
  </si>
  <si>
    <t>BERITO JAYA MEDIKA</t>
  </si>
  <si>
    <t>EP-01KK8AQYAZ4BWDG7GFDMDM4A1R</t>
  </si>
  <si>
    <t>197202041996032065</t>
  </si>
  <si>
    <t>EP-01KH31Q6NZA0WRAHX00JFB0A3M</t>
  </si>
  <si>
    <t>197202041996032066</t>
  </si>
  <si>
    <t>Pengadaan Alkes Habis Pakai Rumkit Bhayangkara Mataram Ta 2026</t>
  </si>
  <si>
    <t>EP-01KH35974AW7EYBC3Y2H55KANM</t>
  </si>
  <si>
    <t>197202041996032067</t>
  </si>
  <si>
    <t>Pengadaan Alkes Habis Pakai (Endo Radar Plus) Rumkit Bhayangkara Mataram Ta 2026</t>
  </si>
  <si>
    <t>COBRA DENTAL INDONESIA</t>
  </si>
  <si>
    <t>EP-01KHADX3YNWA74A3ZCDMV9P1EN</t>
  </si>
  <si>
    <t>197202041996032068</t>
  </si>
  <si>
    <t>PT.Merapi Utama Pharma</t>
  </si>
  <si>
    <t>EP-01KGRJJQ2KATSMERD3A7QTGCHA</t>
  </si>
  <si>
    <t>197202041996032069</t>
  </si>
  <si>
    <t>EP-01KGRHKRNX2HP2FJFWWX589N36</t>
  </si>
  <si>
    <t>197202041996032070</t>
  </si>
  <si>
    <t>EP-01KJEVYBMC875K27SHVK3QDWGM</t>
  </si>
  <si>
    <t>197202041996032071</t>
  </si>
  <si>
    <t>EP-01KJ98DCGEBHMQES5HK932F0YM</t>
  </si>
  <si>
    <t>197202041996032072</t>
  </si>
  <si>
    <t>Pengadaan Alkes (Tensimeter Digital) Rumkit Bhayangkara Mataram Ta 2026</t>
  </si>
  <si>
    <t>EP-01KJ9CESCF5WWCR1RN8Y1R3NX1</t>
  </si>
  <si>
    <t>197202041996032073</t>
  </si>
  <si>
    <t>SURYA BALI MAKMUR</t>
  </si>
  <si>
    <t>EP-01KGGTDYPS87VBQ60F2V93NFA3</t>
  </si>
  <si>
    <t>197202041996032074</t>
  </si>
  <si>
    <t>TRINUSA DHARMA SATHA</t>
  </si>
  <si>
    <t>EP-01KJBYGKY6FSBGM6Z66RF46D5C</t>
  </si>
  <si>
    <t>197202041996032075</t>
  </si>
  <si>
    <t>EP-01KGE3XZXMGR4E3MW70C0ZSED0</t>
  </si>
  <si>
    <t>197202041996032076</t>
  </si>
  <si>
    <t>29,743,355</t>
  </si>
  <si>
    <t>EP-01KGE4P9HWS749XRPYEG4SYMAN</t>
  </si>
  <si>
    <t>197202041996032077</t>
  </si>
  <si>
    <t>TRISTANISA GLOBAL INDONESIA</t>
  </si>
  <si>
    <t>EP-01KJ9AAJEZF7F88ZVDGZ5593N3</t>
  </si>
  <si>
    <t>197202041996032078</t>
  </si>
  <si>
    <t>1,478,520</t>
  </si>
  <si>
    <t>PT. BERLIANDO MITRA ABADI</t>
  </si>
  <si>
    <t>EP-01KKAVAPZY2MGBVPKHAKYTW0DZ</t>
  </si>
  <si>
    <t>197202041996032079</t>
  </si>
  <si>
    <t>1,639,496</t>
  </si>
  <si>
    <t>EP-01KK11DGHXE7PXG57XY8WD2MVG</t>
  </si>
  <si>
    <t>197202041996032080</t>
  </si>
  <si>
    <t>37,199,989</t>
  </si>
  <si>
    <t>EP-01KKAVYECS4JST9B0P79724RF7</t>
  </si>
  <si>
    <t>197202041996032081</t>
  </si>
  <si>
    <t>53,258,684</t>
  </si>
  <si>
    <t>EP-01KK10CB18DSGEN7G828EJSQ46</t>
  </si>
  <si>
    <t>197202041996032082</t>
  </si>
  <si>
    <t>EP-01KK865CWPN0BNF4KKH3PW15Z3</t>
  </si>
  <si>
    <t>197202041996032083</t>
  </si>
  <si>
    <t>EP-01KK0YS8DCE1HMP2C5VT6N3057</t>
  </si>
  <si>
    <t>197202041996032084</t>
  </si>
  <si>
    <t>EP-01KKAVQ8DD0Y59MMRYJDJ07H03</t>
  </si>
  <si>
    <t>197202041996032085</t>
  </si>
  <si>
    <t>EP-01KKJH41122HBEMJBK3HHDDPF6</t>
  </si>
  <si>
    <t>197202041996032086</t>
  </si>
  <si>
    <t>COMAL MULIA ABADI</t>
  </si>
  <si>
    <t>EP-01KKDJ5XC556QPDVB74N7MB2FJ</t>
  </si>
  <si>
    <t>197202041996032087</t>
  </si>
  <si>
    <t>8,236,200</t>
  </si>
  <si>
    <t>EP-01KKT9NWD4XBMDZF5FQZCAWK5Q</t>
  </si>
  <si>
    <t>197202041996032088</t>
  </si>
  <si>
    <t>EP-01KMHZ54F5723MZNQAPJRK8803</t>
  </si>
  <si>
    <t>197202041996032089</t>
  </si>
  <si>
    <t>30,369,600</t>
  </si>
  <si>
    <t>EP-01KKTQZ5J93JF4CK43KVVY7AD1</t>
  </si>
  <si>
    <t>197202041996032090</t>
  </si>
  <si>
    <t>EP-01KMHYW6BZJ8MVYPB6SD4NA6HC</t>
  </si>
  <si>
    <t>197202041996032091</t>
  </si>
  <si>
    <t>7,076,916</t>
  </si>
  <si>
    <t>PT Merapi Utama Pharma</t>
  </si>
  <si>
    <t>EP-01KMYQTFA0PV9F3P7QMSN65RT8</t>
  </si>
  <si>
    <t>197202041996032092</t>
  </si>
  <si>
    <t>EP-01KKDTP7BW47TK9AWGRRAC4WG4</t>
  </si>
  <si>
    <t>197202041996032093</t>
  </si>
  <si>
    <t>1,482,960</t>
  </si>
  <si>
    <t>EP-01KKWX1F9PB08S3JV7CGQVR5EF</t>
  </si>
  <si>
    <t>197202041996032094</t>
  </si>
  <si>
    <t>1,653,845</t>
  </si>
  <si>
    <t>EP-01KKK1H7T388M78584N53146Z5</t>
  </si>
  <si>
    <t>197202041996032095</t>
  </si>
  <si>
    <t>2,354,976</t>
  </si>
  <si>
    <t>EP-01KKT4GZVS3JSAGCAFJJNCERDJ</t>
  </si>
  <si>
    <t>197202041996032096</t>
  </si>
  <si>
    <t>7,535,679</t>
  </si>
  <si>
    <t>EP-01KMHYAK7CH8TPHADDJHZRMMSR</t>
  </si>
  <si>
    <t>197202041996032097</t>
  </si>
  <si>
    <t>4,515,702</t>
  </si>
  <si>
    <t>EP-01KKTQPZ0AFT5W4EH1GH0NV3SQ</t>
  </si>
  <si>
    <t>197202041996032098</t>
  </si>
  <si>
    <t>17,959,800</t>
  </si>
  <si>
    <t>EP-01KKDCE7384S1BGDA15NVSCNZ2</t>
  </si>
  <si>
    <t>197202041996032099</t>
  </si>
  <si>
    <t>57,280,052</t>
  </si>
  <si>
    <t>EP-01KKTPFH05DQNB620PNPV3M3FH</t>
  </si>
  <si>
    <t>197202041996032100</t>
  </si>
  <si>
    <t>EP-01KKTNH1JSW63YYQNJB14J8E21</t>
  </si>
  <si>
    <t>197202041996032101</t>
  </si>
  <si>
    <t>EP-01KKWY6JR03C22RYC288VNCH3T</t>
  </si>
  <si>
    <t>197202041996032102</t>
  </si>
  <si>
    <t>1,360,416</t>
  </si>
  <si>
    <t>EP-01KKWXGS86QBABW4P7KHJHNK7D</t>
  </si>
  <si>
    <t>197202041996032103</t>
  </si>
  <si>
    <t>Pengadaan Obat/Alkes Habis Pakai Rumkit Bhayangkara Mataram Ta 2026</t>
  </si>
  <si>
    <t>2,935,395</t>
  </si>
  <si>
    <t>EP-01KKTR9Y4EKTEHFJZ7K0T4R7X1</t>
  </si>
  <si>
    <t>197202041996032104</t>
  </si>
  <si>
    <t>8,096,451</t>
  </si>
  <si>
    <t>EP-01KKTQATKWK4R2YCSRZ13RBRQ1</t>
  </si>
  <si>
    <t>197202041996032105</t>
  </si>
  <si>
    <t>EP-01KMHZCZF7M0HNJFFQXW7A4B65</t>
  </si>
  <si>
    <t>197202041996032106</t>
  </si>
  <si>
    <t>EP-01KKDV4GDADW2F5JPTPAEVE1HX</t>
  </si>
  <si>
    <t>197202041996032107</t>
  </si>
  <si>
    <t>1,619,046</t>
  </si>
  <si>
    <t>EP-01KMKTAKMTXYNKVAS5EMN6WG39</t>
  </si>
  <si>
    <t>197202041996032108</t>
  </si>
  <si>
    <t>1,880,340</t>
  </si>
  <si>
    <t>EP-01KKFXE8NY4K31GM2DJP1Q27Y6</t>
  </si>
  <si>
    <t>197202041996032109</t>
  </si>
  <si>
    <t>4,480,000</t>
  </si>
  <si>
    <t>EP-01KKJPDG0PHVDJ6K3QD4ZQMERY</t>
  </si>
  <si>
    <t>197202041996032110</t>
  </si>
  <si>
    <t>5,457,210</t>
  </si>
  <si>
    <t>EP-01KKJPW6Q9ZP5BQF27E0P89ZX3</t>
  </si>
  <si>
    <t>197202041996032111</t>
  </si>
  <si>
    <t>22,252,947</t>
  </si>
  <si>
    <t>EP-01KKDD3T5MPB46EKZMR7207YGK</t>
  </si>
  <si>
    <t>197202041996032112</t>
  </si>
  <si>
    <t>EP-01KKDJZPQQW9YN467R6S7MH6EV</t>
  </si>
  <si>
    <t>197202041996032113</t>
  </si>
  <si>
    <t>EP-01KJXYYQFCMSQJMJ1SKWN04H08</t>
  </si>
  <si>
    <t>197202041996032114</t>
  </si>
  <si>
    <t>EP-01KJXWPDEBXBAX71KZXRBEZV3X</t>
  </si>
  <si>
    <t>197202041996032115</t>
  </si>
  <si>
    <t>Pengadaan Obat/Alkes Habis Pakai Rumkit Bhayangkara Mataram TA 2026</t>
  </si>
  <si>
    <t>1,286,546</t>
  </si>
  <si>
    <t>Tiara Kencana Bali</t>
  </si>
  <si>
    <t>EP-01KKDSR2PAGHJR2G2BAGCMVZ00</t>
  </si>
  <si>
    <t>EP-01KKTF4VTT93WCPWXBKQFA3CFP</t>
  </si>
  <si>
    <t>7,997,045</t>
  </si>
  <si>
    <t>TRINUSA DARMA SATHA</t>
  </si>
  <si>
    <t>EP-01KKAXKWZ0R2T9GGVBV76K3Y1C</t>
  </si>
  <si>
    <t>34,397,999</t>
  </si>
  <si>
    <t>EP-01KKAWVXRXKPJ3EF3ZDY8VSCZC</t>
  </si>
  <si>
    <t>Belanja peralatan perkantoran (AC) Rumkit Bhayangkara Mataram TA 2026</t>
  </si>
  <si>
    <t>234,303,000</t>
  </si>
  <si>
    <t>15,597,720</t>
  </si>
  <si>
    <t>BRAWIJAYA PRATAMA</t>
  </si>
  <si>
    <t>EP-01KMHJ2QFR9T5DP4M423FHR5SQ</t>
  </si>
  <si>
    <t>Pengadaan Compresed Oxigen Rumkit Bhayangkara Mataram TA 2026</t>
  </si>
  <si>
    <t>2,643,888,000</t>
  </si>
  <si>
    <t>198,690,000</t>
  </si>
  <si>
    <t>BAYU BANGUN SAKTI</t>
  </si>
  <si>
    <t>EP-01KJY415JCJAAE7V0EPTMET2ET</t>
  </si>
  <si>
    <t>Pengadaan Alkes Phecometer Rumkit Bhayangkara Mataram TA 2026</t>
  </si>
  <si>
    <t>Pengadaan Alkes Autochek Keratometer Rumkit Bhayangkara Mataram TA 2026</t>
  </si>
  <si>
    <t>144,300,000</t>
  </si>
  <si>
    <t>EP-01KKFWTAZ0HK63MGWDSX012N63</t>
  </si>
  <si>
    <t>Pengadaan Alkes Tonometer Rumkit Bhayangkara Mataram TA 2026</t>
  </si>
  <si>
    <t>86,913,000</t>
  </si>
  <si>
    <t>EP-01KKFVTERCTP5FZ6W0GA58P0WX</t>
  </si>
  <si>
    <t>Pengadaan Alat kesehatan Ophthalmic Operating Microscope Rs. Bhayangkara Mataram TA 2026</t>
  </si>
  <si>
    <t>458,985,000</t>
  </si>
  <si>
    <t>KEP/10913.slog/I/2026</t>
  </si>
  <si>
    <t>Jasa konsultansi perencanaan gedung forensik rumkit bhayangkara mataram TA 2026</t>
  </si>
  <si>
    <t>SELEKSI</t>
  </si>
  <si>
    <t>CV. ADI CIPTA</t>
  </si>
  <si>
    <t>SP/ 52 /III/LOG.4./2026/Rumkit</t>
  </si>
  <si>
    <t>M. SAUFI HAQIQI</t>
  </si>
  <si>
    <t>Jasa konsultansi perencanaan gedung forensik rumkit bhayangkara mataram TA 2027</t>
  </si>
  <si>
    <t>BAYU ADI BASKARA ,SH</t>
  </si>
  <si>
    <t>Jasa konsultansi perencanaan gedung forensik rumkit bhayangkara mataram TA 2028</t>
  </si>
  <si>
    <t>I MADE DRAWA, S.Kep, Ners</t>
  </si>
  <si>
    <t>Sprin/915/XII/LOG.4./2025</t>
  </si>
  <si>
    <t>Jasa Konsultansi Pengawasan Konstruksi Pondasi Sarang Laba Laba (Ksll)  Gedung Rumkit Bhayangkara Mataram</t>
  </si>
  <si>
    <t>CV. DED</t>
  </si>
  <si>
    <t>SPK/70/IV/LOG.4./2026</t>
  </si>
  <si>
    <t>4,755,240</t>
  </si>
  <si>
    <t>SPK/48/III/LOG.4/2026/Rumkit</t>
  </si>
  <si>
    <t>197202041996032116</t>
  </si>
  <si>
    <t>Sprin/914/XII/LOG.4./2026</t>
  </si>
  <si>
    <t>2,419,800</t>
  </si>
  <si>
    <t>SPK/49/III/LOG.4/2026/Rumkit</t>
  </si>
  <si>
    <t>197202041996032117</t>
  </si>
  <si>
    <t>Sprin/914/XII/LOG.4./2027</t>
  </si>
  <si>
    <t>Har Gedung Rumkit bHayangkara Mataram TA 2026</t>
  </si>
  <si>
    <t>327,468,000</t>
  </si>
  <si>
    <t>45,785,000</t>
  </si>
  <si>
    <t>CV Yusron Guna Mandiri</t>
  </si>
  <si>
    <t>SPK/50/III/LOG.4/2026/Rumkit</t>
  </si>
  <si>
    <t>197202041996032118</t>
  </si>
  <si>
    <t>Sprin/914/XII/LOG.4./2028</t>
  </si>
  <si>
    <t>9,140,850</t>
  </si>
  <si>
    <t>EP-01KPQEC07VVNS4G74ABY18PPKZ</t>
  </si>
  <si>
    <t>197202041996032119</t>
  </si>
  <si>
    <t>Sprin/914/XII/LOG.4./2029</t>
  </si>
  <si>
    <t>5,518,196</t>
  </si>
  <si>
    <t>EP-01KP52S5ANYN0JWTXPX76ZZ5HH</t>
  </si>
  <si>
    <t>13,236,750</t>
  </si>
  <si>
    <t>EP-01KPW4CZGHS5NN3WNQ4GH322F9</t>
  </si>
  <si>
    <t>53,479,800</t>
  </si>
  <si>
    <t>EP-01KPW5HBBR4WA8PRTC9RHSBGVJ</t>
  </si>
  <si>
    <t>76,777,228</t>
  </si>
  <si>
    <t>EP-01KP517YX6QK4FTGXAY49ZWRA5</t>
  </si>
  <si>
    <t>EP-01KP58YGM6D0NR1ARCXWPC68CK</t>
  </si>
  <si>
    <t>2,278,453</t>
  </si>
  <si>
    <t>EP-01KMYRJG5V4EBQ2Q7MB009FR0N</t>
  </si>
  <si>
    <t>7,107,885</t>
  </si>
  <si>
    <t>PT Parit Padang Global Denpasar</t>
  </si>
  <si>
    <t>EP-01KQBQTJE3D4FAJDA46ACNW9KB</t>
  </si>
  <si>
    <t>3,750,013</t>
  </si>
  <si>
    <t>EP-01KN3G9CZR6W8JNF8V2X3RJ118</t>
  </si>
  <si>
    <t>7,500,026</t>
  </si>
  <si>
    <t>EP-01KPAD0W6FBPVBHN84PPSV1CKW</t>
  </si>
  <si>
    <t>42,813,810</t>
  </si>
  <si>
    <t>EP-01KPA96T43E8DX4GQKC0GJH0Q5</t>
  </si>
  <si>
    <t>3,721,275</t>
  </si>
  <si>
    <t>EP-01KQBDBY176VYDAQ1C3R2XG6EC</t>
  </si>
  <si>
    <t>4,374,055</t>
  </si>
  <si>
    <t>EP-01KPSKD418QAM18JTC5PRZAGS8</t>
  </si>
  <si>
    <t>4,633,602</t>
  </si>
  <si>
    <t>29,058,732</t>
  </si>
  <si>
    <t>EP-01KPAJZ90425ZC28VMGQVG2CKZ</t>
  </si>
  <si>
    <t>59,607,000</t>
  </si>
  <si>
    <t>EP-01KP5FPDVC5RB3GD0J2T2E5K47</t>
  </si>
  <si>
    <t>EP-01KQ6C7YCW62C2EJ2VVB9RE0G9</t>
  </si>
  <si>
    <t>1,500,000</t>
  </si>
  <si>
    <t>EP-01KPMVB5Z6JT1J87RNA9WZ1P70</t>
  </si>
  <si>
    <t>1,523,994</t>
  </si>
  <si>
    <t>EP-01KPQ58TPGMXNJG3FAJAB8RS4F</t>
  </si>
  <si>
    <t>1,575,495</t>
  </si>
  <si>
    <t>EP-01KQBQH08S4PDW88C381TG8SAW</t>
  </si>
  <si>
    <t>3,872,860</t>
  </si>
  <si>
    <t>EP-01KQ6CJZSC9R96B8KM5F5MPDYP</t>
  </si>
  <si>
    <t>4,802,193</t>
  </si>
  <si>
    <t>EP-01KMYNQPR0751203BKWR86MAG2</t>
  </si>
  <si>
    <t>5,331,097</t>
  </si>
  <si>
    <t>EP-01KQ6M4ZJAD7Z0BTWVV4WDQC1E</t>
  </si>
  <si>
    <t>6,035,403</t>
  </si>
  <si>
    <t>EP-01KPQ4QD60MGZ1RSFPVJMF7D0B</t>
  </si>
  <si>
    <t>EP-01KPQ5264DAJ7ZK4ZYME9J0X3J</t>
  </si>
  <si>
    <t>6,000,001</t>
  </si>
  <si>
    <t>EP-01KN5YFRDCC1N2NTRMEC92TWT8</t>
  </si>
  <si>
    <t>10,168,305</t>
  </si>
  <si>
    <t>EP-01KPW754RG7KTJA8XSZPK2AFXS</t>
  </si>
  <si>
    <t>23,516,793</t>
  </si>
  <si>
    <t>PT. SABA</t>
  </si>
  <si>
    <t>SPK/67/IV/LOG.4./2026</t>
  </si>
  <si>
    <t>1,965,556</t>
  </si>
  <si>
    <t>PT Berliando</t>
  </si>
  <si>
    <t>SPK/68/IV/LOG.4./2026</t>
  </si>
  <si>
    <t>2,063,490</t>
  </si>
  <si>
    <t>EP-01KQBRNM1Y3SKEP2CJDM9NNDZW</t>
  </si>
  <si>
    <t>4,247,092</t>
  </si>
  <si>
    <t>EP-01KQRTWXQC44A0SYQZ73R018YB</t>
  </si>
  <si>
    <t>120,070,359</t>
  </si>
  <si>
    <t>EP-01KQRW5D4G9D0A9MXQV4YDR1G6</t>
  </si>
  <si>
    <t>EP-01KQRSY5NCCNRSZ2KPDZZPT2AQ</t>
  </si>
  <si>
    <t>64,556,884</t>
  </si>
  <si>
    <t>PT ADYA ARTHA ABADI</t>
  </si>
  <si>
    <t>EP-01KQEJ8B76ZN78BDZNHM25TMKA</t>
  </si>
  <si>
    <t>EP-01KRW9QX5X5T1SF5QWNP0EX5CP</t>
  </si>
  <si>
    <t>EP-01KR2SCMQ89GM7RW4K5D6G8NR0</t>
  </si>
  <si>
    <t>16,317,000</t>
  </si>
  <si>
    <t>EP-01KQRDYT5YDV1596THVZ7ZNE66</t>
  </si>
  <si>
    <t>EP-01KQEJQBM1JE1FZWF07WV5ECVY</t>
  </si>
  <si>
    <t>EP-01KQEK3MQHXEEX1VS62EY3D5DF</t>
  </si>
  <si>
    <t>2,014,412</t>
  </si>
  <si>
    <t>PT. RIDHO ILAHI FARMA</t>
  </si>
  <si>
    <t>EP-01KR30E7213RET9XXVVBQFV40C</t>
  </si>
  <si>
    <t>2,845,800</t>
  </si>
  <si>
    <t>EP-01KQC1PZ94Y8QP0WBYKPK1NC1Z</t>
  </si>
  <si>
    <t>56,758,385</t>
  </si>
  <si>
    <t>EP-01KQ9E7EYF1003F0QCXKD3A31Z</t>
  </si>
  <si>
    <t>19,638,287</t>
  </si>
  <si>
    <t>SPK/80/V/LOG.4./2026</t>
  </si>
  <si>
    <t>21,739,617</t>
  </si>
  <si>
    <t>KOPERASI KEMALA HUSADA</t>
  </si>
  <si>
    <t>SPK/81/V/LOG.4./2026</t>
  </si>
  <si>
    <t>39,027,600</t>
  </si>
  <si>
    <t>PT.Berliando Mitra Abadi</t>
  </si>
  <si>
    <t>SPK/82/V/LOG.4./2026</t>
  </si>
  <si>
    <t>7,740,400</t>
  </si>
  <si>
    <t>PT.AMM</t>
  </si>
  <si>
    <t>SPK/83/V/LOG.4./2026</t>
  </si>
  <si>
    <t>19,801,795</t>
  </si>
  <si>
    <t>PT.TRINUSA</t>
  </si>
  <si>
    <t>SPK/84/V/LOG.4./2026</t>
  </si>
  <si>
    <t xml:space="preserve">SPRIPIM </t>
  </si>
  <si>
    <t>FACHMI HAMDANI, S.Psi.,S.I.K</t>
  </si>
  <si>
    <t>KEP/72/I/2026</t>
  </si>
  <si>
    <t>NI MADE SUSANTI, S.Adm., M.I.Kom</t>
  </si>
  <si>
    <t>197910142003122005</t>
  </si>
  <si>
    <t>Sprin/243/XII/LOG.4./2025</t>
  </si>
  <si>
    <t>Pengadaan Harwat Ranmor R4 Dan R6 Spripim Polda Ntb Dan Pengadaan Atk Spripim Polda Ntb T.A. 2026</t>
  </si>
  <si>
    <t>334.768.000 dan 8324.000</t>
  </si>
  <si>
    <t>UTAMA MOTOR DAN UD. FAJAR INDAH</t>
  </si>
  <si>
    <t>EP-01KE92Z20FVPF C3XWPPYD3YYT5</t>
  </si>
  <si>
    <t>BAYU ADIK BASKARA, S.H.</t>
  </si>
  <si>
    <t>Sprin/251/XII/LOG.4./2025</t>
  </si>
  <si>
    <t>Pengadaan Atk Spripim Polda Ntb T.A. 2026</t>
  </si>
  <si>
    <t>EP-01KEB1SZ7HRR B05NXAK11TK2XP</t>
  </si>
  <si>
    <t xml:space="preserve">POLRESTA MATARAM </t>
  </si>
  <si>
    <t>HENDRO PURWOKO, S.I.K., M.H.</t>
  </si>
  <si>
    <t>Ulp Non Organik Polresta Mataram Ta. 2026</t>
  </si>
  <si>
    <t>UD. TALIMS JAYA</t>
  </si>
  <si>
    <t>EP-01KE6PB8BR0NZ9XDTM3VZE9FSS</t>
  </si>
  <si>
    <t>KEP/901/XII/2025</t>
  </si>
  <si>
    <t>Ulp Non Oranik Polsek Jajaran Polresta Mataram Ta. 2026</t>
  </si>
  <si>
    <t>RM &amp; CATERING ARISTA</t>
  </si>
  <si>
    <t>EP-01KE9568YRCHRP12YPRK5B74X6</t>
  </si>
  <si>
    <t>KEP/901/XII/2026</t>
  </si>
  <si>
    <t>Konsumsi Tahanan Polresta Mataram Ta. 2026</t>
  </si>
  <si>
    <t>EP-01KDQVKWCZMK1F8MSSFZ8B9AVK</t>
  </si>
  <si>
    <t>KEP/901/XII/2027</t>
  </si>
  <si>
    <t>Pemeliharaan Kendaraan Bermotor Roda 4/6 Polresta Mataram Ta. 2026</t>
  </si>
  <si>
    <t>UD. CAHAYA DIPUTRA</t>
  </si>
  <si>
    <t>EP-01KJCKFPXDAX9PS196VT4E987W</t>
  </si>
  <si>
    <t>KEP/901/XII/2028</t>
  </si>
  <si>
    <t>Pemeliharaan Kendaraan Bermotor Roda 4 Polsek Jajaran Polresta Mataram Ta. 2026</t>
  </si>
  <si>
    <t>UD. UTAMA MOTOR</t>
  </si>
  <si>
    <t>EP-01KFD8FG7BQYV26ZMKNT0Z3A46</t>
  </si>
  <si>
    <t>KEP/901/XII/2029</t>
  </si>
  <si>
    <t>Pemeliharaan Kendaraan Bermotor Roda 2 Polsek Jajaran Polresta Mataram Ta. 2026</t>
  </si>
  <si>
    <t>CRYSTAL MOTOR</t>
  </si>
  <si>
    <t>EP-01KHTSS81JG898XFR45G6P93CW</t>
  </si>
  <si>
    <t>KEP/901/XII/2030</t>
  </si>
  <si>
    <t>Pemeliharaan Gedung Kantor Polresta Mataram Ta. 2026</t>
  </si>
  <si>
    <t>CV. KALEMBO ADE MAUTAMA</t>
  </si>
  <si>
    <t>EP-01KK0RW3RCCNSWCYD64K5XQQAY</t>
  </si>
  <si>
    <t>KEP/901/XII/2031</t>
  </si>
  <si>
    <t>Pemeliharaan Gedung Kantor Polsek Jajaran Polresta Mataram Ta. 2026</t>
  </si>
  <si>
    <t>EP-01KKK3QT0YJZD1BJWA4Q0S5E0B</t>
  </si>
  <si>
    <t>KEP/901/XII/2032</t>
  </si>
  <si>
    <t>Pengadaan Peralatan Perlengkapan Kantor Polresta Mataram Ta. 2026</t>
  </si>
  <si>
    <t>UD. ISTANA</t>
  </si>
  <si>
    <t>EP-01KG1WYDB8YFPB3EXA6E23KTW4</t>
  </si>
  <si>
    <t>KEP/901/XII/2033</t>
  </si>
  <si>
    <t>Pengadaan Peralatan Perlengkapan Kantor Polsek Jajaran Polresta Mataram Ta. 2026</t>
  </si>
  <si>
    <t>EP-01KHDPRSV30MS0KQWF53J2Q5KE</t>
  </si>
  <si>
    <t>I KETUT SUARDANA YASA, S.H.</t>
  </si>
  <si>
    <t>AIPTU</t>
  </si>
  <si>
    <t>Harwat Ac Polresta Mataram Ta. 2026</t>
  </si>
  <si>
    <t>CV. EDY UTAMA</t>
  </si>
  <si>
    <t>EP-01KJ9AN89NMFDJ6QG49NYET1CJ</t>
  </si>
  <si>
    <t>Perawatan Tahanan Polresta Mataram Ta. 2026 (Kelontong)</t>
  </si>
  <si>
    <t>UD. MANIK KEMBANG</t>
  </si>
  <si>
    <t>EP-01KFZ95QBJFXSJ0N387YT4HWYN</t>
  </si>
  <si>
    <t>Perawatan Tahanan Polresta Mataram Ta. 2026 (Obat-Obatan)</t>
  </si>
  <si>
    <t>PT. WIJAYA KUSUMA BERKAH MULIA)</t>
  </si>
  <si>
    <t>EP-01KFBJKW1719JX9W6A5X562QJJ</t>
  </si>
  <si>
    <t>Pemeliharaan Kendaraan Bermotor Roda 4 Sat Lantas Polresta Mataram Ta. 2026</t>
  </si>
  <si>
    <t>EP-01KNV4VWVGTHSZ2R5MW485TFMC</t>
  </si>
  <si>
    <t>Pemeliharaan Kendaraan Bermotor Roda 2 Polresta Mataram Ta. 2026</t>
  </si>
  <si>
    <t>EP-01KHT9X454ST3Y9PE61MHCQXNA</t>
  </si>
  <si>
    <t>Pemeliharaan Kendaraan Bermotor Roda 2 Sat Lantas Polresta Mataram Ta. 2026</t>
  </si>
  <si>
    <t>EP-01KNV7V4KGMB9TDFC8K5AYVZFR</t>
  </si>
  <si>
    <t>Pemeliharaan Gedung Kantor Gakkum Sat Lantas Polresta Mataram Ta. 2026</t>
  </si>
  <si>
    <t>SPK/56/III/2026</t>
  </si>
  <si>
    <t>Pemeliharaan Taman / Pekarangan Polresta Mataram Ta. 2026</t>
  </si>
  <si>
    <t>CV. CINTA ALAM MULYA</t>
  </si>
  <si>
    <t>EP-01KEKG1DRKV6MENYVX44YY2RYZ</t>
  </si>
  <si>
    <t>Pemeliharaan Taman / Pekarangan Polsek Jajaran Polresta Mataram Ta. 2026</t>
  </si>
  <si>
    <t>EP-01KKR1X0YZYGAQGSKNTQ0P1H7J</t>
  </si>
  <si>
    <t>Perawatan Alkom Polresta Mataram Ta. 2026</t>
  </si>
  <si>
    <t>CV. REMBUN ELEKTRONIK</t>
  </si>
  <si>
    <t>EP-01KKCS7F74QB36DWAD4YXZN1B7</t>
  </si>
  <si>
    <t>Perawatan Komputer Polresta Mataram Ta. 2026</t>
  </si>
  <si>
    <t>CV. MITARIZKY</t>
  </si>
  <si>
    <t>EP-01KF0D9Y0SHR0GD2JHKRBAYJHP</t>
  </si>
  <si>
    <t xml:space="preserve">POLRES LOMBOK BARAT </t>
  </si>
  <si>
    <t>YASMARA HARAHAP, S.I.K., M.Si.</t>
  </si>
  <si>
    <t>KEP/466/III/2025</t>
  </si>
  <si>
    <t>-</t>
  </si>
  <si>
    <t>KEP/969/XII/2025</t>
  </si>
  <si>
    <t>Ulp Non Organik Polsek Jajaran Polres Lombok Barat R Ta. 2026</t>
  </si>
  <si>
    <t>UD. KANTIN DIAN</t>
  </si>
  <si>
    <t>EP-01KDER8S09CMTXZC3FBVA23T75</t>
  </si>
  <si>
    <t>Pemeliharaan Kendaraan Roda 4, 6, Awc Polres Lobar Ta. 2026</t>
  </si>
  <si>
    <t>KAROSERI RIPER BODY</t>
  </si>
  <si>
    <t>EP-01KEG97QW6PTJA02ASDZBEGJDC</t>
  </si>
  <si>
    <t>Makan Tahanan Polres Lobar Ta. 2026</t>
  </si>
  <si>
    <t>CATERIN PAK YONO</t>
  </si>
  <si>
    <t>EP-01KDKTF7KSK6H58GHQH4GWV3AJ</t>
  </si>
  <si>
    <t>Ulp Non Organik Polres Lobar Ta. 2026</t>
  </si>
  <si>
    <t>EP-01KDKZ72C0PZ5A4HNJBG9RN8X9</t>
  </si>
  <si>
    <t>Pemeliharaan Kendaraan Roda 4 Sat Lantas Polres Lobar Sumber Pnbp Ta. 2026</t>
  </si>
  <si>
    <t>EP-01KEGY9RRP6ZKTGW6Q3H1HM1TE</t>
  </si>
  <si>
    <t>M. LUKMANUL HAKIM, S.H.</t>
  </si>
  <si>
    <t>SPRIN/1053/XII/LOG.4./2025</t>
  </si>
  <si>
    <t>Ulp Non Organik Sat Polair Polres Lobar Ta. 2026</t>
  </si>
  <si>
    <t>EP-01KDME8FDGGWF1H6GQNZXRJTWA</t>
  </si>
  <si>
    <t>BAKHTIAR</t>
  </si>
  <si>
    <t>SPRIN/1056/XII/LOG.4./2025</t>
  </si>
  <si>
    <t>Perawatan Tahanan Polres Lobar Ta. 2026</t>
  </si>
  <si>
    <t>TOKO AYU</t>
  </si>
  <si>
    <t>SPRIN/1057/XII/LOG.4./2025</t>
  </si>
  <si>
    <t>Pemeliharaan Kapal Patroli Air Sat Polairud Polres Lobar Ta. 2026</t>
  </si>
  <si>
    <t>CV. ASHLAR RIFKI MARINE</t>
  </si>
  <si>
    <t>SPK/16/II/2026</t>
  </si>
  <si>
    <t>SPRIN/1058/XII/LOG.4./2025</t>
  </si>
  <si>
    <t>Pemeliharaan Alat Komunikasi Polres Lobar T.A. 2026</t>
  </si>
  <si>
    <t>SPK/5/II/2026</t>
  </si>
  <si>
    <t>SPRIN/1059/XII/LOG.4./2025</t>
  </si>
  <si>
    <t>Pemeliharaan Kendaraan Bermotor Roda 2 Polres Lobar Sumber Rm Ta. 2026</t>
  </si>
  <si>
    <t>BENGKEL HARI JAYA</t>
  </si>
  <si>
    <t>SPK/9/II/2026</t>
  </si>
  <si>
    <t>MUHAMAD ISTIHAR, S.H.</t>
  </si>
  <si>
    <t>SPRIN/1055/XII/LOG.4./2025</t>
  </si>
  <si>
    <t>Pemeliharaan Gedung Kantor Polres Lobar Ta. 2026</t>
  </si>
  <si>
    <t>CV. YUSRAN GUNA MANDIRI</t>
  </si>
  <si>
    <t>SPK/15/II/2026</t>
  </si>
  <si>
    <t xml:space="preserve">POLRES LOMBOK TENGAH </t>
  </si>
  <si>
    <t>EKO YUSMIARTO, S.I.K.</t>
  </si>
  <si>
    <t>12 Maret 2025</t>
  </si>
  <si>
    <t>KEP/976/XII/2025</t>
  </si>
  <si>
    <t>29 Desember 2025</t>
  </si>
  <si>
    <t>Ulp Non Organik Polres Loteng Ta. 2026</t>
  </si>
  <si>
    <t>EP-01KDPS3XRJ8D2FA1ZVBSTNX19Q</t>
  </si>
  <si>
    <t>Makan Tahanan Polres Loteng Ta. 2026</t>
  </si>
  <si>
    <t>EP-01KDPXHFPHV9YAB5H3FXSXCW2B</t>
  </si>
  <si>
    <t>Harwat Ranmor R4 / R6 / R10 Polres Loteng Ta. 2026 (Rm)</t>
  </si>
  <si>
    <t>BN REYALITA</t>
  </si>
  <si>
    <t>EP-01KHSBWDRE0YV9VESHPRZ66C01</t>
  </si>
  <si>
    <t>JUHAINI</t>
  </si>
  <si>
    <t>PENGTU</t>
  </si>
  <si>
    <t>197012312008101000</t>
  </si>
  <si>
    <t>SPRIN/1101/XII/LOG.4.1/2026</t>
  </si>
  <si>
    <t>17 Desember 2025</t>
  </si>
  <si>
    <t>Harwat Ranmor R2 Polres Loteng Ta. 2026</t>
  </si>
  <si>
    <t>UD. WAHYU VARIASI</t>
  </si>
  <si>
    <t>EP-01KHSMT5W3CC7NF4DKNVGY5PAR</t>
  </si>
  <si>
    <t>Harwat Ranmor R4 / R6 / R10 Polres Loteng Ta. 2026 (Pnbp)</t>
  </si>
  <si>
    <t>UD. GLOBAL ENGINEERING</t>
  </si>
  <si>
    <t>EP-01KJBDY7QSHZF6SSQP2ZJSSPYX</t>
  </si>
  <si>
    <t>Harwat Gedung Polres Loteng Ta. 2026</t>
  </si>
  <si>
    <t>CV. KARSA SEJATI</t>
  </si>
  <si>
    <t>SP/4/II/LOG.4/2026</t>
  </si>
  <si>
    <t>Perawatan Tahanan Polres Loteng Ta. 2026</t>
  </si>
  <si>
    <t>CV. AGUNG PRINTING</t>
  </si>
  <si>
    <t>EP-01KKDM9ZF4WE3C42Z0H3352648</t>
  </si>
  <si>
    <t>Harwat Kapal Polres Loteng Ta. 2026</t>
  </si>
  <si>
    <t>CV. ABADI</t>
  </si>
  <si>
    <t xml:space="preserve"> EP-01KKDM9ZF4WE3C42Z0H3352648</t>
  </si>
  <si>
    <t xml:space="preserve">POLRES LOMBOK TIMUR </t>
  </si>
  <si>
    <t>I KOMANG SARJANA, S.I.K., S.H</t>
  </si>
  <si>
    <t>KEP/968/XII/2025</t>
  </si>
  <si>
    <t>Ulp Non Organik / Jaga Fungsi (Polres) T.A 2026 Polres Lombok Timur</t>
  </si>
  <si>
    <t>UD. UMMARAS</t>
  </si>
  <si>
    <t>EP-01KDR3KJ09QEZP27ZPPT22WTHG</t>
  </si>
  <si>
    <t>Pengadaan Konsumsi Tahanan (Polres) T.A 2026 Polres Lombok Timur</t>
  </si>
  <si>
    <t>EP-01KDT2VASEDS1JYDFQFV9NZPFW</t>
  </si>
  <si>
    <t>Ulp Non Organik / Jaga Fungsi Polsek Pra Rural (Polsek Jerowaru, Selong, Pringgasela, Mt. Gading, Sakra Barat, Suela, Kp3 Labuhan Lombok, Wanasaba, Suralaga, Dan Polsek Sakra Timur) T.A 2026 Polres Lombok Timur</t>
  </si>
  <si>
    <t>UD. ANITA</t>
  </si>
  <si>
    <t>EP-01KDTP36V64PJKXXBK93AZ952C</t>
  </si>
  <si>
    <t>Ulp Non Organik / Jaga Fungsi Polsek Urban (Polsek Masbagik Dan Polsek Pringgabaya) T.A 2026 Polres Lombok Timur</t>
  </si>
  <si>
    <t>EP-01KDTMVSYZJZ4BDXQBESSFT5PM</t>
  </si>
  <si>
    <t>Ulp Non Organik / Jaga Fungsi Polsek Rural (Polsek Terare, Sikur, Aikmel, Sambelia, Sakra, Keruak, Sukamulia, Lb. Haji, Dan Polsek Sembalun) T.A 2026 Polres Lombok Timur</t>
  </si>
  <si>
    <t>EP-01KDTNKYMA1KCSTZTYQ0XH9QB8</t>
  </si>
  <si>
    <t>SAMSUL KOMAR</t>
  </si>
  <si>
    <t>SPRIN/1789/XII/LOG.4./2025</t>
  </si>
  <si>
    <t>Pemeliharaan Gedung Kantor Polres T.A 2026 Polres Lombok Timur</t>
  </si>
  <si>
    <t>CV. KIKAFHA</t>
  </si>
  <si>
    <t>SPK/10/III/LOG.4./2026/Reslotim</t>
  </si>
  <si>
    <t>Pemeliharaan Kendaraan Bermotor Roda 2 (Polres) T.A 2026 Polres Lombok Timur</t>
  </si>
  <si>
    <t>CV. TIGA PUTRA LOMBOK</t>
  </si>
  <si>
    <t>EP-01KJB1QM67JWZYSHC5VN29AJCM</t>
  </si>
  <si>
    <t>Pengadaan Peralatan/Perlengkapan Kantor (Polres) T.A 2026 Polres Lombok Timur</t>
  </si>
  <si>
    <t>ALKAUTSAR RAYA</t>
  </si>
  <si>
    <t>EP-01KJAJ6Q7787FV40G84TG8BZ7A</t>
  </si>
  <si>
    <t>Pemeliharaan Tahanan Polres Lotim T.A 2026</t>
  </si>
  <si>
    <t>EP-01KJJ8S98NC0YQGAYQM1EMQA</t>
  </si>
  <si>
    <t>Pemeliharaan Kendaraan Bermotor Roda 4 / 6 / 10 (Polress) T.A 2026 Polres Lotim</t>
  </si>
  <si>
    <t>EP-01KK0A4KX2DFB2F1NRZWANX41B</t>
  </si>
  <si>
    <t>Pemeliharaan Speed Boat Polair T.A 2026 Polres Lombok Timur</t>
  </si>
  <si>
    <t xml:space="preserve">EP-01KJVNZGA4QPDKQ0C4TMDX2RK0-1 </t>
  </si>
  <si>
    <t>Pemeliharaan Kendaraan Bermotor Roda 2 (Polres) Ta. 2026</t>
  </si>
  <si>
    <t>EP-01KMK6XVKT8X98WC51QQ9417A0</t>
  </si>
  <si>
    <t>Pemeliharaan Kendaraan Bermotor Roda 4 Lantas T.A 2026</t>
  </si>
  <si>
    <t>EP-01KMK5GT9WEK8G5BW5J1M360H5</t>
  </si>
  <si>
    <t xml:space="preserve">POLRES LOMBOK UTARA </t>
  </si>
  <si>
    <t>AGUS PURWANTA, S.I.K.</t>
  </si>
  <si>
    <t>KEP/86/I/2025</t>
  </si>
  <si>
    <t>Paket Pengadaan Ulp Non Organik Polres</t>
  </si>
  <si>
    <t>MENTARI CATRING</t>
  </si>
  <si>
    <t>EP-01KDQTHHA1SWXEFQDGC4POYMEO</t>
  </si>
  <si>
    <t>Paket Pengadaan Makan Tahanan Polres</t>
  </si>
  <si>
    <t>EP-02KDATFYZCZ4ZD8Y1NQ4DQNT5E</t>
  </si>
  <si>
    <t>Pengadaan Harwat Ranmor R4/R6 Polres</t>
  </si>
  <si>
    <t>LIGHT AUTO</t>
  </si>
  <si>
    <t>EP-11KEEWAV4F2OY28SCWD27WVWX3</t>
  </si>
  <si>
    <t>SPRIN/3541/XII/HUK.6./2025</t>
  </si>
  <si>
    <t>Harwat Tahanan Polres</t>
  </si>
  <si>
    <t>KIOS TAMI</t>
  </si>
  <si>
    <t>EP-05KDJNR9M2X7XEXWE4NSJBBH9Q</t>
  </si>
  <si>
    <t>Paket Pengadaan Ulp Non Organik Polsek Pemenang</t>
  </si>
  <si>
    <t>EP-06KDQQ32RWWKD7G4P1VHHZYXHJ</t>
  </si>
  <si>
    <t>Paket Pengadaan Ulp Non Organik Polsek Tanjung</t>
  </si>
  <si>
    <t>EP-10KDQQVYSVRWJCZENCVGBDESS</t>
  </si>
  <si>
    <t>Paket Pengadaan Ulp Non Organik Polsek Gangga</t>
  </si>
  <si>
    <t>EP-07KDQQ32RWWKD7G4P1VHHZYXHJ</t>
  </si>
  <si>
    <t>Paket Pengadaan Ulp Non Organik Polsek Kayangan</t>
  </si>
  <si>
    <t>EP-O8KDQQ32RWWKD7G4P1VHHZYXHJ</t>
  </si>
  <si>
    <t>Paket Pengadaan Ulp Non Organik Polsek Bayan</t>
  </si>
  <si>
    <t>EP-09KDQQ32RWWKD7G4P1VHHZYXHJ</t>
  </si>
  <si>
    <t>Pengadaan  Harwat Gedung Polres</t>
  </si>
  <si>
    <t>SPK/12/II/LOG.4./2026/Reslotara</t>
  </si>
  <si>
    <t>Pengadaan Harwat Gedung Polsek Tanjung</t>
  </si>
  <si>
    <t>SPK/14/II/LOG.4./2026/Reslotara</t>
  </si>
  <si>
    <t>Pengadaan Harwat Taman Polres</t>
  </si>
  <si>
    <t>SPK/13/II/LOG.4./2026/Reslotara</t>
  </si>
  <si>
    <t xml:space="preserve">POLRES SUMBAWA BARAT </t>
  </si>
  <si>
    <t>ZULKARNAIN, S.I.K.</t>
  </si>
  <si>
    <t>KEP/854/XI/2025</t>
  </si>
  <si>
    <t>Pemeliharaan Kendaraan Roda R4, R6, Dan Ransus Polres Sumbawa Barat Ta. 2026</t>
  </si>
  <si>
    <t xml:space="preserve">UD. BENGKEL BALAT BERSINAR MOTOR </t>
  </si>
  <si>
    <t xml:space="preserve">EP- 01KDQKEE47WWJ2GDHSQEVNMWG6 </t>
  </si>
  <si>
    <t>Pengadaan Makan Tahanan Polres Sumbawa Barat Ta. 2026</t>
  </si>
  <si>
    <t>CV. CATERING RAJA RASA</t>
  </si>
  <si>
    <t xml:space="preserve">EP- 01KDQ53XJAM5RV8BY28JPA2ZFQ </t>
  </si>
  <si>
    <t>Ulp Non Organik Polres Sumbawa Barat Ta . 2026</t>
  </si>
  <si>
    <t xml:space="preserve">EP- 01KDQD9C0GMQWASNTMK5PTZ6EV </t>
  </si>
  <si>
    <t>Ulp Non Organik Polsek Jajaran Polres Sumbawa Barat Ta. 2026</t>
  </si>
  <si>
    <t xml:space="preserve">EP- 01KDQDVS5WV259T6NH7DAPJS16 </t>
  </si>
  <si>
    <t xml:space="preserve">ABDUL SENAN, S Sos </t>
  </si>
  <si>
    <t>Sprin/898/XII/LOG.4./2025</t>
  </si>
  <si>
    <t>Pemeliharaan Gedung Kantor Polres Siumbawa Barat</t>
  </si>
  <si>
    <t>UD. NOVANOA</t>
  </si>
  <si>
    <t>SPK/4/I/LOG.4./2026/ResSbwBrt</t>
  </si>
  <si>
    <t>Pemeliharaan Ranmor R2 Polres Sumbawa Barat</t>
  </si>
  <si>
    <t>UD. LONG MOTOR</t>
  </si>
  <si>
    <t>SPK/5/I/LOG.4./2026/ResSbwBrt</t>
  </si>
  <si>
    <t>Atk Polres Sumbawa Barat</t>
  </si>
  <si>
    <t>UD. LIFI</t>
  </si>
  <si>
    <t>SPK/3/I/LOG.4./2026/ResSbwBrt</t>
  </si>
  <si>
    <t xml:space="preserve">POLRES SUMBAWA </t>
  </si>
  <si>
    <t>MARIETA DWI ARDHINI, S.H., S.I.K.</t>
  </si>
  <si>
    <t>KEP/37/VII/2025</t>
  </si>
  <si>
    <t>RUSLAN</t>
  </si>
  <si>
    <t>KEP/62/XII/2025</t>
  </si>
  <si>
    <t>Paket Pengadaan Ulp Non Organik Piket Jaga Polres</t>
  </si>
  <si>
    <t>EP-01KEEXQF0W939YXGZW6444A3CH</t>
  </si>
  <si>
    <t>EP-01KDZ8SR7N26BMSR1DCHT20RY1</t>
  </si>
  <si>
    <t>Paket Pengadaan Ulp Non Organik Piket Jaga Polsek</t>
  </si>
  <si>
    <t>EP-01KEHQA1GJM655H5EWGX428MVE</t>
  </si>
  <si>
    <t>UD.TOTANG RASA</t>
  </si>
  <si>
    <t>EP-01KENFWA277AT0K10JRGD35C42</t>
  </si>
  <si>
    <t>Pengadaan Harwat Ranmor R4 Polres</t>
  </si>
  <si>
    <t>UD. GG MOTOR</t>
  </si>
  <si>
    <t>EP-01KEJP2TSE1F28Y5PA3V70TZKK</t>
  </si>
  <si>
    <t>SARDI</t>
  </si>
  <si>
    <t>SPRIN/1678/XII/LOG.4.2./2025</t>
  </si>
  <si>
    <t>Paket Pengadaan Ulp Non Organik Piket Jaga  Sat Polairud</t>
  </si>
  <si>
    <t>EP-01KEF0XATS8ABVR1NWWP51DZ1D</t>
  </si>
  <si>
    <t>Pengadaan Harwat Ranmor R2 Polres</t>
  </si>
  <si>
    <t>EP-01KEEZ4B3FJWT186PEBY7RPC4J</t>
  </si>
  <si>
    <t>Pengadaan Harwat Ranmor R2 Lantas</t>
  </si>
  <si>
    <t>EP-01KGDZ1D2VCVWPDXF0Q76DJSJY</t>
  </si>
  <si>
    <t>Pengadaan Harwat Ranmor R4 Lantas</t>
  </si>
  <si>
    <t>EP-01KGEEJTNFK824Z8Z9C72NEVD0</t>
  </si>
  <si>
    <t>Pengadaan Harwat Ranmor R6 Polres</t>
  </si>
  <si>
    <t>UD.ULET JAYA ABADI</t>
  </si>
  <si>
    <t>EP-01KEEV75FYGYQRPZ3JET6G95XN</t>
  </si>
  <si>
    <t>Pengadaan Harwat Gedung Polres</t>
  </si>
  <si>
    <t>CV. FITRAH</t>
  </si>
  <si>
    <t>SP/15/I/LOG.4.1.5./2026/RES SBW</t>
  </si>
  <si>
    <t>Pengadaan Harwat Kapal Sat Polairud</t>
  </si>
  <si>
    <t>CV.SUMBER ALAM</t>
  </si>
  <si>
    <t>SPK/13/III/2026/RES SBW</t>
  </si>
  <si>
    <t>Pengadaan Harwat Ranmor R6 Lantas</t>
  </si>
  <si>
    <t>EP-01KGE4HSQFNRQBKF1H8PVPQ21N</t>
  </si>
  <si>
    <t>Pengadaan Harwat Awc</t>
  </si>
  <si>
    <t>EP-01KEF2YFGA8PQ52797KXTSWSZS</t>
  </si>
  <si>
    <t>Pengadaan Atk Polres</t>
  </si>
  <si>
    <t>CV.SANDRO</t>
  </si>
  <si>
    <t>EP-01KENCSVR8ZGZXQ68G01XFTBXX</t>
  </si>
  <si>
    <t>Pengadaan Perawatan Tahanan Polres</t>
  </si>
  <si>
    <t>EP-01KKFSXDG2QV13AF5BGJRKVWRJ</t>
  </si>
  <si>
    <t xml:space="preserve">POLRES DOMPU </t>
  </si>
  <si>
    <t>SODIKIN FAHROJIN NUR, S.I.K</t>
  </si>
  <si>
    <t>KEP/922/XII/2025</t>
  </si>
  <si>
    <t>Paket Pengadaan  Ulp Non Organik Piket Jaga Polres</t>
  </si>
  <si>
    <t xml:space="preserve">UD. AHSAN </t>
  </si>
  <si>
    <t>EP-01KDPDSQVYKRPVP01 M98BGKZR62</t>
  </si>
  <si>
    <t>Paket Makan Tahanan</t>
  </si>
  <si>
    <t>CV. ZIKRI</t>
  </si>
  <si>
    <t>EP-01 KDPGNJNAWFT2F PDCFG2N6608</t>
  </si>
  <si>
    <t>Paket Harwat Ranmor R4/R6 Konsolidasi</t>
  </si>
  <si>
    <t>CV. ALI IDRIS JAYA</t>
  </si>
  <si>
    <t>EP-01 KFTQAFH72HKXJF ANOGYJH5PH</t>
  </si>
  <si>
    <t>GUNTORO, SH</t>
  </si>
  <si>
    <t xml:space="preserve">SPRIN/14/XII/2025 </t>
  </si>
  <si>
    <t>Paket Pengadaan  Ulp Non Organik Piket Jaga Polsek Woja Polres Dompu</t>
  </si>
  <si>
    <t>EP-01 KDPROAPVT7M05VX5VSA9W46N</t>
  </si>
  <si>
    <t xml:space="preserve">SPRIN/12/XII/2025 </t>
  </si>
  <si>
    <t>Paket Pengadaan  Ulp Non Organik Piket Jaga Polsek Dompu Polres Dompu</t>
  </si>
  <si>
    <t>EP-01 KDPM861 R3Z8056 5DJ7CSTKJ</t>
  </si>
  <si>
    <t>SPRIN/4/I/2026</t>
  </si>
  <si>
    <t>Paket Harwat R2 Polres Dompu</t>
  </si>
  <si>
    <t>EP-01 KFT56YQY6G55Z565NRROF4Z</t>
  </si>
  <si>
    <t>SPRIN/13/I/2026</t>
  </si>
  <si>
    <t>Paket Harwat Kapal Polair Polres</t>
  </si>
  <si>
    <t>BENGKEL WWD</t>
  </si>
  <si>
    <t>SP/25/11/2026</t>
  </si>
  <si>
    <t>SPRIN/30/III/2026</t>
  </si>
  <si>
    <t>Paket Harwat Gedung Kantor Polres Dompu</t>
  </si>
  <si>
    <t>CV. WEKI TOLU</t>
  </si>
  <si>
    <t>SPK/37/111/LOG.4./2026</t>
  </si>
  <si>
    <t>SPRIN/7/I/2026</t>
  </si>
  <si>
    <t>Paket Perawatan Tahanan</t>
  </si>
  <si>
    <t>CV. LA PARIS</t>
  </si>
  <si>
    <t>SPK/26/11/2026</t>
  </si>
  <si>
    <t>SPRIN/5/I/2026</t>
  </si>
  <si>
    <t>Paket Pengadaan Keperluan Perkantoran</t>
  </si>
  <si>
    <t>CV. DHARMA BAKTI</t>
  </si>
  <si>
    <t>EP-01KFTM7PV1X8QS1H J9ZJD79V7C</t>
  </si>
  <si>
    <t xml:space="preserve">POLRES BIMA </t>
  </si>
  <si>
    <t>EKO SUTOMO,S.I.K.,M.I.K</t>
  </si>
  <si>
    <t>KEP/873/XII/2023</t>
  </si>
  <si>
    <t>KEP/907/XII/2025</t>
  </si>
  <si>
    <t>EP-01KDSFT32Y8P5VB0N3P71X7A9H</t>
  </si>
  <si>
    <t>Paket Pengadaan Ulp Non Organik Polsek</t>
  </si>
  <si>
    <t>EP-01KDT9TNA25PR01AJ3D9W003X41W</t>
  </si>
  <si>
    <t>Paket Pengadaan Makan Tahanan</t>
  </si>
  <si>
    <t>EP-01KDPN72RV4MX38TWRXM6MJ81D</t>
  </si>
  <si>
    <t>Paket Pengadaan Harwat R4,R6 Rantis</t>
  </si>
  <si>
    <t>CV.PILAR</t>
  </si>
  <si>
    <t>EP-01KDSS9T67A6RQB5RN3X5722QH</t>
  </si>
  <si>
    <t>SYAHRULRIJAL</t>
  </si>
  <si>
    <t>BRIGADIR</t>
  </si>
  <si>
    <t>SPRIN/836/XII/KEP./2025</t>
  </si>
  <si>
    <t>Paket Harwat Gedung Dan Bangunan</t>
  </si>
  <si>
    <t>UD.SAKINAH</t>
  </si>
  <si>
    <t>SPK/15/XII/2025/RESOR BIMA</t>
  </si>
  <si>
    <t xml:space="preserve">POLRES BIMA KOTA </t>
  </si>
  <si>
    <t xml:space="preserve">MUBIARTO BANU KRISTANTO, S.I.K., M.M. </t>
  </si>
  <si>
    <t xml:space="preserve">KEP/351/II/2026 </t>
  </si>
  <si>
    <r>
      <rPr>
        <sz val="11"/>
        <rFont val="Arial Narrow"/>
      </rPr>
      <t>DIDIK PUTRA KUNCORO, S.I.K.,</t>
    </r>
    <r>
      <rPr>
        <u/>
        <sz val="11"/>
        <color rgb="FF1155CC"/>
        <rFont val="Arial Narrow"/>
      </rPr>
      <t>M.Si</t>
    </r>
  </si>
  <si>
    <t>KEP /127/II/2025</t>
  </si>
  <si>
    <t xml:space="preserve">Ulp Non Organik Tugas Jaga Fungsi Polres Dan Sat Pol Air </t>
  </si>
  <si>
    <t>EP-01KDPPN6RC65C434G60JVEBJVA</t>
  </si>
  <si>
    <r>
      <rPr>
        <sz val="11"/>
        <rFont val="Arial Narrow"/>
      </rPr>
      <t>DIDIK PUTRA KUNCORO, S.I.K.,</t>
    </r>
    <r>
      <rPr>
        <u/>
        <sz val="11"/>
        <color rgb="FF1155CC"/>
        <rFont val="Arial Narrow"/>
      </rPr>
      <t>M.Si</t>
    </r>
  </si>
  <si>
    <t xml:space="preserve">Ulp Non Organik Tugas Jaga Fungsi Polsek Jajaran </t>
  </si>
  <si>
    <t>EP-01KDPYCD8DANRS576YM3DKP5MQ</t>
  </si>
  <si>
    <r>
      <rPr>
        <sz val="11"/>
        <rFont val="Arial Narrow"/>
      </rPr>
      <t>DIDIK PUTRA KUNCORO, S.I.K.,</t>
    </r>
    <r>
      <rPr>
        <u/>
        <sz val="11"/>
        <color rgb="FF1155CC"/>
        <rFont val="Arial Narrow"/>
      </rPr>
      <t>M.Si</t>
    </r>
  </si>
  <si>
    <t xml:space="preserve">Belanja Makan Tahanan Polres Bima Kota </t>
  </si>
  <si>
    <t>EP-01KDPVH00N8DY0GSTQHJ4G6SKZ</t>
  </si>
  <si>
    <r>
      <rPr>
        <sz val="11"/>
        <rFont val="Arial Narrow"/>
      </rPr>
      <t>DIDIK PUTRA KUNCORO, S.I.K.,</t>
    </r>
    <r>
      <rPr>
        <u/>
        <sz val="11"/>
        <color rgb="FF1155CC"/>
        <rFont val="Arial Narrow"/>
      </rPr>
      <t>M.Si</t>
    </r>
  </si>
  <si>
    <t>KEP/983/XII/2025</t>
  </si>
  <si>
    <t xml:space="preserve">Belanja Pemeliharaan Peralatan Dan Mesin R 4, R6 Dan Awc Polres </t>
  </si>
  <si>
    <t>EP-01KEBF549R28B898R1AS198E0X</t>
  </si>
  <si>
    <t>NURYANTO</t>
  </si>
  <si>
    <t>SPRIN / 931/XII/LOG.4/2025</t>
  </si>
  <si>
    <t xml:space="preserve">Belanja Pemeliharaan Peralatan Dan Mesin R 2 Polres </t>
  </si>
  <si>
    <t>EP-01KXX30S16T0DNKVMATHV6YXEF</t>
  </si>
  <si>
    <t xml:space="preserve">Belanja Pemeliharaan Peralatan Dan Mesin R 4 Sat Lantas  Polres </t>
  </si>
  <si>
    <t>EP-01KEXBDT4CTDN6VNA4BD93R4P3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</si>
</sst>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(#,##0.00\)"/>
    <numFmt numFmtId="165" formatCode="d\ mmmm\ yyyy"/>
    <numFmt numFmtId="166" formatCode="#,##0;\(#,##0\)"/>
    <numFmt numFmtId="167" formatCode="d/m/yyyy"/>
  </numFmts>
  <fonts count="20">
    <font>
      <sz val="10"/>
      <color rgb="FF000000"/>
      <name val="Arial"/>
      <scheme val="minor"/>
    </font>
    <font>
      <sz val="9"/>
      <color theme="1"/>
      <name val="Arial Narrow"/>
    </font>
    <font>
      <sz val="11"/>
      <color theme="1"/>
      <name val="Arial Narrow"/>
    </font>
    <font>
      <sz val="11"/>
      <color rgb="FF000000"/>
      <name val="Arial Narrow"/>
    </font>
    <font>
      <sz val="11"/>
      <color rgb="FF344054"/>
      <name val="Arial Narrow"/>
    </font>
    <font>
      <u/>
      <sz val="11"/>
      <color rgb="FF000000"/>
      <name val="Arial Narrow"/>
    </font>
    <font>
      <sz val="10"/>
      <name val="Arial"/>
    </font>
    <font>
      <b/>
      <sz val="11"/>
      <color theme="1"/>
      <name val="Arial Narrow"/>
    </font>
    <font>
      <sz val="11"/>
      <color rgb="FF000000"/>
      <name val="&quot;Arial Narrow&quot;"/>
    </font>
    <font>
      <sz val="10"/>
      <color rgb="FF000000"/>
      <name val="Arial Narrow"/>
    </font>
    <font>
      <u/>
      <sz val="11"/>
      <color rgb="FF0000FF"/>
      <name val="Arial Narrow"/>
    </font>
    <font>
      <sz val="10"/>
      <color theme="1"/>
      <name val="&quot;Footlight MT Light&quot;"/>
    </font>
    <font>
      <sz val="10"/>
      <color rgb="FF000000"/>
      <name val="&quot;Footlight MT Light&quot;"/>
    </font>
    <font>
      <sz val="10"/>
      <color rgb="FF344054"/>
      <name val="&quot;Footlight MT Light&quot;"/>
    </font>
    <font>
      <sz val="10"/>
      <color theme="1"/>
      <name val="Arial"/>
    </font>
    <font>
      <sz val="10"/>
      <color theme="1"/>
      <name val="&quot;Maiandra GD&quot;"/>
    </font>
    <font>
      <sz val="10"/>
      <color theme="1"/>
      <name val="Arial"/>
      <scheme val="minor"/>
    </font>
    <font>
      <u/>
      <sz val="11"/>
      <color rgb="FF0000FF"/>
      <name val="Arial Narrow"/>
    </font>
    <font>
      <sz val="11"/>
      <name val="Arial Narrow"/>
    </font>
    <font>
      <u/>
      <sz val="11"/>
      <color rgb="FF1155CC"/>
      <name val="Arial Narrow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/>
    <xf numFmtId="164" fontId="2" fillId="0" borderId="0" xfId="0" applyNumberFormat="1" applyFont="1"/>
    <xf numFmtId="3" fontId="4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/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65" fontId="2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1" xfId="0" applyFont="1" applyBorder="1" applyAlignment="1">
      <alignment wrapText="1"/>
    </xf>
    <xf numFmtId="166" fontId="2" fillId="0" borderId="1" xfId="0" applyNumberFormat="1" applyFont="1" applyBorder="1" applyAlignment="1">
      <alignment vertical="top"/>
    </xf>
    <xf numFmtId="0" fontId="3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167" fontId="7" fillId="0" borderId="1" xfId="0" applyNumberFormat="1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167" fontId="2" fillId="2" borderId="1" xfId="0" applyNumberFormat="1" applyFont="1" applyFill="1" applyBorder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167" fontId="2" fillId="0" borderId="1" xfId="0" applyNumberFormat="1" applyFont="1" applyBorder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165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14" fontId="2" fillId="0" borderId="1" xfId="0" applyNumberFormat="1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left" vertical="top"/>
    </xf>
    <xf numFmtId="3" fontId="2" fillId="0" borderId="1" xfId="0" applyNumberFormat="1" applyFont="1" applyBorder="1" applyAlignment="1">
      <alignment vertical="top"/>
    </xf>
    <xf numFmtId="0" fontId="2" fillId="0" borderId="1" xfId="0" quotePrefix="1" applyFont="1" applyBorder="1" applyAlignment="1">
      <alignment horizontal="left" vertical="top"/>
    </xf>
    <xf numFmtId="0" fontId="2" fillId="0" borderId="1" xfId="0" applyFont="1" applyBorder="1"/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2" fillId="0" borderId="6" xfId="0" applyFont="1" applyBorder="1" applyAlignment="1">
      <alignment horizontal="left" vertical="top"/>
    </xf>
    <xf numFmtId="0" fontId="2" fillId="0" borderId="6" xfId="0" applyFont="1" applyBorder="1" applyAlignment="1">
      <alignment wrapText="1"/>
    </xf>
    <xf numFmtId="0" fontId="2" fillId="0" borderId="6" xfId="0" applyFont="1" applyBorder="1" applyAlignment="1">
      <alignment vertical="top"/>
    </xf>
    <xf numFmtId="0" fontId="3" fillId="0" borderId="6" xfId="0" applyFont="1" applyBorder="1" applyAlignment="1">
      <alignment horizontal="left" vertical="top"/>
    </xf>
    <xf numFmtId="0" fontId="2" fillId="0" borderId="6" xfId="0" applyFont="1" applyBorder="1" applyAlignment="1">
      <alignment horizontal="center" vertical="top"/>
    </xf>
    <xf numFmtId="0" fontId="2" fillId="0" borderId="6" xfId="0" applyFont="1" applyBorder="1" applyAlignment="1">
      <alignment vertical="top"/>
    </xf>
    <xf numFmtId="0" fontId="3" fillId="0" borderId="1" xfId="0" applyFont="1" applyBorder="1" applyAlignment="1">
      <alignment wrapText="1"/>
    </xf>
    <xf numFmtId="3" fontId="3" fillId="0" borderId="1" xfId="0" applyNumberFormat="1" applyFont="1" applyBorder="1" applyAlignment="1">
      <alignment vertical="top"/>
    </xf>
    <xf numFmtId="0" fontId="2" fillId="0" borderId="0" xfId="0" applyFont="1" applyAlignment="1"/>
    <xf numFmtId="0" fontId="2" fillId="0" borderId="1" xfId="0" applyFont="1" applyBorder="1" applyAlignment="1">
      <alignment horizontal="left" wrapText="1"/>
    </xf>
    <xf numFmtId="3" fontId="2" fillId="0" borderId="1" xfId="0" applyNumberFormat="1" applyFont="1" applyBorder="1" applyAlignment="1">
      <alignment horizontal="center" vertical="top"/>
    </xf>
    <xf numFmtId="165" fontId="2" fillId="0" borderId="1" xfId="0" applyNumberFormat="1" applyFont="1" applyBorder="1" applyAlignment="1">
      <alignment horizontal="center" vertical="top"/>
    </xf>
    <xf numFmtId="3" fontId="2" fillId="0" borderId="1" xfId="0" applyNumberFormat="1" applyFont="1" applyBorder="1" applyAlignment="1">
      <alignment horizontal="left" vertical="top"/>
    </xf>
    <xf numFmtId="4" fontId="2" fillId="0" borderId="1" xfId="0" applyNumberFormat="1" applyFont="1" applyBorder="1" applyAlignment="1">
      <alignment vertical="top"/>
    </xf>
    <xf numFmtId="4" fontId="8" fillId="0" borderId="1" xfId="0" applyNumberFormat="1" applyFont="1" applyBorder="1" applyAlignment="1">
      <alignment vertical="top"/>
    </xf>
    <xf numFmtId="0" fontId="9" fillId="0" borderId="1" xfId="0" applyFont="1" applyBorder="1" applyAlignment="1">
      <alignment vertical="top"/>
    </xf>
    <xf numFmtId="0" fontId="9" fillId="0" borderId="6" xfId="0" applyFont="1" applyBorder="1" applyAlignment="1">
      <alignment vertical="top"/>
    </xf>
    <xf numFmtId="0" fontId="10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165" fontId="3" fillId="0" borderId="2" xfId="0" applyNumberFormat="1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3" fontId="11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 vertical="top"/>
    </xf>
    <xf numFmtId="165" fontId="11" fillId="0" borderId="0" xfId="0" applyNumberFormat="1" applyFont="1" applyAlignment="1">
      <alignment horizontal="center"/>
    </xf>
    <xf numFmtId="3" fontId="12" fillId="0" borderId="1" xfId="0" applyNumberFormat="1" applyFont="1" applyBorder="1" applyAlignment="1">
      <alignment horizontal="right"/>
    </xf>
    <xf numFmtId="3" fontId="13" fillId="0" borderId="1" xfId="0" applyNumberFormat="1" applyFont="1" applyBorder="1" applyAlignment="1">
      <alignment horizontal="right"/>
    </xf>
    <xf numFmtId="3" fontId="11" fillId="0" borderId="2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 vertical="top"/>
    </xf>
    <xf numFmtId="0" fontId="2" fillId="0" borderId="1" xfId="0" applyFont="1" applyBorder="1" applyAlignment="1">
      <alignment horizontal="right" vertical="top"/>
    </xf>
    <xf numFmtId="0" fontId="11" fillId="0" borderId="1" xfId="0" applyFont="1" applyBorder="1" applyAlignment="1">
      <alignment horizontal="left"/>
    </xf>
    <xf numFmtId="3" fontId="14" fillId="0" borderId="1" xfId="0" applyNumberFormat="1" applyFont="1" applyBorder="1" applyAlignment="1">
      <alignment horizontal="right"/>
    </xf>
    <xf numFmtId="0" fontId="11" fillId="0" borderId="1" xfId="0" applyFont="1" applyBorder="1" applyAlignment="1">
      <alignment horizontal="left"/>
    </xf>
    <xf numFmtId="3" fontId="3" fillId="0" borderId="1" xfId="0" applyNumberFormat="1" applyFont="1" applyBorder="1" applyAlignment="1">
      <alignment horizontal="right" vertical="top"/>
    </xf>
    <xf numFmtId="3" fontId="3" fillId="0" borderId="1" xfId="0" applyNumberFormat="1" applyFont="1" applyBorder="1" applyAlignment="1">
      <alignment vertical="top"/>
    </xf>
    <xf numFmtId="0" fontId="12" fillId="0" borderId="1" xfId="0" applyFont="1" applyBorder="1" applyAlignment="1">
      <alignment horizontal="left"/>
    </xf>
    <xf numFmtId="3" fontId="11" fillId="0" borderId="1" xfId="0" applyNumberFormat="1" applyFont="1" applyBorder="1" applyAlignment="1">
      <alignment horizontal="right"/>
    </xf>
    <xf numFmtId="0" fontId="15" fillId="0" borderId="1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3" fontId="2" fillId="0" borderId="1" xfId="0" applyNumberFormat="1" applyFont="1" applyBorder="1" applyAlignment="1">
      <alignment vertical="top" wrapText="1"/>
    </xf>
    <xf numFmtId="14" fontId="2" fillId="0" borderId="1" xfId="0" applyNumberFormat="1" applyFont="1" applyBorder="1" applyAlignment="1">
      <alignment horizontal="center" vertical="top"/>
    </xf>
    <xf numFmtId="3" fontId="2" fillId="0" borderId="1" xfId="0" applyNumberFormat="1" applyFont="1" applyBorder="1" applyAlignment="1">
      <alignment vertical="top"/>
    </xf>
    <xf numFmtId="0" fontId="2" fillId="0" borderId="1" xfId="0" applyFont="1" applyBorder="1" applyAlignment="1">
      <alignment horizontal="left" vertical="top"/>
    </xf>
    <xf numFmtId="165" fontId="2" fillId="0" borderId="1" xfId="0" quotePrefix="1" applyNumberFormat="1" applyFont="1" applyBorder="1" applyAlignment="1">
      <alignment horizontal="left" vertical="top"/>
    </xf>
    <xf numFmtId="166" fontId="2" fillId="0" borderId="1" xfId="0" applyNumberFormat="1" applyFont="1" applyBorder="1" applyAlignment="1">
      <alignment vertical="top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horizontal="left" vertical="top"/>
    </xf>
    <xf numFmtId="3" fontId="2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164" fontId="2" fillId="0" borderId="1" xfId="0" applyNumberFormat="1" applyFont="1" applyBorder="1" applyAlignment="1">
      <alignment vertical="top"/>
    </xf>
    <xf numFmtId="0" fontId="2" fillId="0" borderId="1" xfId="0" applyFont="1" applyBorder="1" applyAlignment="1">
      <alignment horizontal="left" vertical="top"/>
    </xf>
    <xf numFmtId="0" fontId="17" fillId="0" borderId="1" xfId="0" applyFont="1" applyBorder="1" applyAlignment="1">
      <alignment horizontal="left" vertical="top"/>
    </xf>
    <xf numFmtId="0" fontId="3" fillId="0" borderId="1" xfId="0" applyFont="1" applyBorder="1"/>
    <xf numFmtId="0" fontId="3" fillId="0" borderId="3" xfId="0" applyFont="1" applyBorder="1" applyAlignment="1">
      <alignment horizontal="center"/>
    </xf>
    <xf numFmtId="0" fontId="6" fillId="0" borderId="4" xfId="0" applyFont="1" applyBorder="1"/>
    <xf numFmtId="0" fontId="3" fillId="0" borderId="2" xfId="0" applyFont="1" applyBorder="1" applyAlignment="1">
      <alignment horizontal="center" vertical="center" wrapText="1"/>
    </xf>
    <xf numFmtId="0" fontId="6" fillId="0" borderId="6" xfId="0" applyFont="1" applyBorder="1"/>
    <xf numFmtId="0" fontId="3" fillId="0" borderId="3" xfId="0" applyFont="1" applyBorder="1" applyAlignment="1">
      <alignment horizontal="center" vertical="center" wrapText="1"/>
    </xf>
    <xf numFmtId="0" fontId="6" fillId="0" borderId="5" xfId="0" applyFont="1" applyBorder="1"/>
    <xf numFmtId="0" fontId="5" fillId="0" borderId="0" xfId="0" applyFont="1" applyAlignment="1">
      <alignment horizontal="center"/>
    </xf>
    <xf numFmtId="0" fontId="0" fillId="0" borderId="0" xfId="0" applyFont="1" applyAlignment="1"/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m.si/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://m.si/" TargetMode="External"/><Relationship Id="rId1" Type="http://schemas.openxmlformats.org/officeDocument/2006/relationships/hyperlink" Target="http://sp.bm/" TargetMode="External"/><Relationship Id="rId6" Type="http://schemas.openxmlformats.org/officeDocument/2006/relationships/vmlDrawing" Target="../drawings/vmlDrawing1.vml"/><Relationship Id="rId5" Type="http://schemas.openxmlformats.org/officeDocument/2006/relationships/hyperlink" Target="http://m.si/" TargetMode="External"/><Relationship Id="rId4" Type="http://schemas.openxmlformats.org/officeDocument/2006/relationships/hyperlink" Target="http://m.s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E1476"/>
  <sheetViews>
    <sheetView tabSelected="1" zoomScale="79" zoomScaleNormal="79" workbookViewId="0">
      <pane ySplit="9" topLeftCell="A294" activePane="bottomLeft" state="frozen"/>
      <selection pane="bottomLeft" activeCell="B11" sqref="B11"/>
    </sheetView>
  </sheetViews>
  <sheetFormatPr defaultColWidth="12.6640625" defaultRowHeight="15.75" customHeight="1"/>
  <cols>
    <col min="1" max="1" width="5.44140625" customWidth="1"/>
    <col min="2" max="2" width="24.33203125" customWidth="1"/>
    <col min="3" max="3" width="11.88671875" customWidth="1"/>
    <col min="4" max="4" width="38.6640625" customWidth="1"/>
    <col min="5" max="5" width="20.6640625" customWidth="1"/>
    <col min="6" max="6" width="18.33203125" customWidth="1"/>
    <col min="7" max="7" width="34.77734375" customWidth="1"/>
    <col min="8" max="8" width="15.109375" customWidth="1"/>
    <col min="9" max="9" width="52" customWidth="1"/>
    <col min="10" max="11" width="15.109375" customWidth="1"/>
    <col min="12" max="12" width="21.88671875" customWidth="1"/>
    <col min="13" max="13" width="24.21875" customWidth="1"/>
    <col min="14" max="14" width="42.6640625" customWidth="1"/>
    <col min="15" max="15" width="14.88671875" customWidth="1"/>
    <col min="16" max="16" width="15.33203125" customWidth="1"/>
    <col min="17" max="18" width="19.77734375" customWidth="1"/>
  </cols>
  <sheetData>
    <row r="1" spans="1:3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>
      <c r="A2" s="4" t="s">
        <v>0</v>
      </c>
      <c r="B2" s="2"/>
      <c r="C2" s="2"/>
      <c r="D2" s="2"/>
      <c r="E2" s="2"/>
      <c r="F2" s="2"/>
      <c r="G2" s="2"/>
      <c r="H2" s="2"/>
      <c r="I2" s="5"/>
      <c r="J2" s="2"/>
      <c r="K2" s="2"/>
      <c r="L2" s="2"/>
      <c r="M2" s="3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>
      <c r="A3" s="4" t="s">
        <v>1</v>
      </c>
      <c r="B3" s="2"/>
      <c r="C3" s="2"/>
      <c r="D3" s="2"/>
      <c r="E3" s="2"/>
      <c r="F3" s="2"/>
      <c r="G3" s="2"/>
      <c r="H3" s="2"/>
      <c r="I3" s="2"/>
      <c r="J3" s="2"/>
      <c r="K3" s="6"/>
      <c r="L3" s="2"/>
      <c r="M3" s="3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>
      <c r="A5" s="122" t="s">
        <v>2</v>
      </c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7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>
      <c r="A7" s="124" t="s">
        <v>3</v>
      </c>
      <c r="B7" s="124" t="s">
        <v>4</v>
      </c>
      <c r="C7" s="118" t="s">
        <v>5</v>
      </c>
      <c r="D7" s="124" t="s">
        <v>6</v>
      </c>
      <c r="E7" s="124" t="s">
        <v>7</v>
      </c>
      <c r="F7" s="124" t="s">
        <v>8</v>
      </c>
      <c r="G7" s="116" t="s">
        <v>9</v>
      </c>
      <c r="H7" s="117"/>
      <c r="I7" s="118" t="s">
        <v>10</v>
      </c>
      <c r="J7" s="116" t="s">
        <v>11</v>
      </c>
      <c r="K7" s="117"/>
      <c r="L7" s="118" t="s">
        <v>12</v>
      </c>
      <c r="M7" s="118" t="s">
        <v>13</v>
      </c>
      <c r="N7" s="120" t="s">
        <v>14</v>
      </c>
      <c r="O7" s="121"/>
      <c r="P7" s="117"/>
      <c r="Q7" s="124" t="s">
        <v>15</v>
      </c>
      <c r="R7" s="9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>
      <c r="A8" s="119"/>
      <c r="B8" s="119"/>
      <c r="C8" s="119"/>
      <c r="D8" s="119"/>
      <c r="E8" s="119"/>
      <c r="F8" s="119"/>
      <c r="G8" s="10" t="s">
        <v>16</v>
      </c>
      <c r="H8" s="11" t="s">
        <v>17</v>
      </c>
      <c r="I8" s="119"/>
      <c r="J8" s="10" t="s">
        <v>18</v>
      </c>
      <c r="K8" s="10" t="s">
        <v>14</v>
      </c>
      <c r="L8" s="119"/>
      <c r="M8" s="119"/>
      <c r="N8" s="12" t="s">
        <v>19</v>
      </c>
      <c r="O8" s="13" t="s">
        <v>20</v>
      </c>
      <c r="P8" s="13" t="s">
        <v>21</v>
      </c>
      <c r="Q8" s="119"/>
      <c r="R8" s="9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>
      <c r="A9" s="10">
        <v>1</v>
      </c>
      <c r="B9" s="10">
        <v>2</v>
      </c>
      <c r="C9" s="10">
        <v>3</v>
      </c>
      <c r="D9" s="10">
        <v>4</v>
      </c>
      <c r="E9" s="10">
        <v>5</v>
      </c>
      <c r="F9" s="10">
        <v>6</v>
      </c>
      <c r="G9" s="10">
        <v>7</v>
      </c>
      <c r="H9" s="10">
        <v>8</v>
      </c>
      <c r="I9" s="10">
        <v>9</v>
      </c>
      <c r="J9" s="10">
        <v>10</v>
      </c>
      <c r="K9" s="10">
        <v>11</v>
      </c>
      <c r="L9" s="10">
        <v>12</v>
      </c>
      <c r="M9" s="10">
        <v>13</v>
      </c>
      <c r="N9" s="10">
        <v>14</v>
      </c>
      <c r="O9" s="10">
        <v>15</v>
      </c>
      <c r="P9" s="10">
        <v>16</v>
      </c>
      <c r="Q9" s="10">
        <v>17</v>
      </c>
      <c r="R9" s="14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>
      <c r="A10" s="15"/>
      <c r="B10" s="15"/>
      <c r="C10" s="15"/>
      <c r="D10" s="15"/>
      <c r="E10" s="16"/>
      <c r="F10" s="16"/>
      <c r="G10" s="16"/>
      <c r="H10" s="16"/>
      <c r="I10" s="15"/>
      <c r="J10" s="15"/>
      <c r="K10" s="15"/>
      <c r="L10" s="15"/>
      <c r="M10" s="15"/>
      <c r="N10" s="15"/>
      <c r="O10" s="15"/>
      <c r="P10" s="15"/>
      <c r="Q10" s="15"/>
      <c r="R10" s="8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>
      <c r="A11" s="10">
        <v>1</v>
      </c>
      <c r="B11" s="17" t="s">
        <v>22</v>
      </c>
      <c r="C11" s="18" t="s">
        <v>23</v>
      </c>
      <c r="D11" s="19" t="s">
        <v>24</v>
      </c>
      <c r="E11" s="20" t="s">
        <v>25</v>
      </c>
      <c r="F11" s="21"/>
      <c r="G11" s="19" t="s">
        <v>26</v>
      </c>
      <c r="H11" s="22">
        <v>45468</v>
      </c>
      <c r="I11" s="23"/>
      <c r="J11" s="24"/>
      <c r="K11" s="24"/>
      <c r="L11" s="24"/>
      <c r="M11" s="25"/>
      <c r="N11" s="24"/>
      <c r="O11" s="24"/>
      <c r="P11" s="24"/>
      <c r="Q11" s="26"/>
      <c r="R11" s="27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>
      <c r="A12" s="10"/>
      <c r="B12" s="17"/>
      <c r="C12" s="18" t="s">
        <v>27</v>
      </c>
      <c r="D12" s="19" t="s">
        <v>24</v>
      </c>
      <c r="E12" s="20" t="s">
        <v>25</v>
      </c>
      <c r="F12" s="21"/>
      <c r="G12" s="19" t="s">
        <v>28</v>
      </c>
      <c r="H12" s="22">
        <v>46008</v>
      </c>
      <c r="I12" s="28" t="s">
        <v>29</v>
      </c>
      <c r="J12" s="29">
        <v>83600000</v>
      </c>
      <c r="K12" s="29">
        <v>83600000</v>
      </c>
      <c r="L12" s="26" t="s">
        <v>30</v>
      </c>
      <c r="M12" s="30" t="s">
        <v>31</v>
      </c>
      <c r="N12" s="31" t="s">
        <v>32</v>
      </c>
      <c r="O12" s="32"/>
      <c r="P12" s="32"/>
      <c r="Q12" s="31" t="s">
        <v>33</v>
      </c>
      <c r="R12" s="33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>
      <c r="A13" s="10"/>
      <c r="B13" s="17"/>
      <c r="C13" s="18" t="s">
        <v>34</v>
      </c>
      <c r="D13" s="19" t="s">
        <v>35</v>
      </c>
      <c r="E13" s="20" t="s">
        <v>36</v>
      </c>
      <c r="F13" s="21"/>
      <c r="G13" s="19" t="s">
        <v>37</v>
      </c>
      <c r="H13" s="22">
        <v>45999</v>
      </c>
      <c r="I13" s="28" t="s">
        <v>38</v>
      </c>
      <c r="J13" s="29">
        <v>49844000</v>
      </c>
      <c r="K13" s="29">
        <v>49844000</v>
      </c>
      <c r="L13" s="26" t="s">
        <v>30</v>
      </c>
      <c r="M13" s="30" t="s">
        <v>39</v>
      </c>
      <c r="N13" s="31" t="s">
        <v>40</v>
      </c>
      <c r="O13" s="34"/>
      <c r="P13" s="32"/>
      <c r="Q13" s="31" t="s">
        <v>33</v>
      </c>
      <c r="R13" s="33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>
      <c r="A14" s="10"/>
      <c r="B14" s="17"/>
      <c r="C14" s="21"/>
      <c r="D14" s="21"/>
      <c r="E14" s="21"/>
      <c r="F14" s="21"/>
      <c r="G14" s="21"/>
      <c r="H14" s="21"/>
      <c r="I14" s="28" t="s">
        <v>41</v>
      </c>
      <c r="J14" s="24"/>
      <c r="K14" s="24"/>
      <c r="L14" s="24"/>
      <c r="M14" s="35"/>
      <c r="N14" s="31"/>
      <c r="O14" s="36"/>
      <c r="P14" s="36"/>
      <c r="Q14" s="24"/>
      <c r="R14" s="37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>
      <c r="A15" s="10">
        <v>2</v>
      </c>
      <c r="B15" s="17" t="s">
        <v>42</v>
      </c>
      <c r="C15" s="18" t="s">
        <v>23</v>
      </c>
      <c r="D15" s="19" t="s">
        <v>43</v>
      </c>
      <c r="E15" s="20" t="s">
        <v>25</v>
      </c>
      <c r="F15" s="38">
        <v>71110259</v>
      </c>
      <c r="G15" s="39" t="s">
        <v>44</v>
      </c>
      <c r="H15" s="40">
        <v>46030</v>
      </c>
      <c r="I15" s="28" t="s">
        <v>41</v>
      </c>
      <c r="J15" s="24"/>
      <c r="K15" s="24"/>
      <c r="L15" s="24"/>
      <c r="M15" s="35"/>
      <c r="N15" s="31"/>
      <c r="O15" s="36"/>
      <c r="P15" s="36"/>
      <c r="Q15" s="31"/>
      <c r="R15" s="33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>
      <c r="A16" s="10"/>
      <c r="B16" s="17"/>
      <c r="C16" s="18" t="s">
        <v>27</v>
      </c>
      <c r="D16" s="38" t="s">
        <v>45</v>
      </c>
      <c r="E16" s="20" t="s">
        <v>46</v>
      </c>
      <c r="F16" s="38" t="s">
        <v>47</v>
      </c>
      <c r="G16" s="39" t="s">
        <v>48</v>
      </c>
      <c r="H16" s="40">
        <v>46013</v>
      </c>
      <c r="I16" s="28" t="s">
        <v>49</v>
      </c>
      <c r="J16" s="29">
        <v>210240000</v>
      </c>
      <c r="K16" s="41">
        <v>210240000</v>
      </c>
      <c r="L16" s="26" t="s">
        <v>30</v>
      </c>
      <c r="M16" s="42" t="s">
        <v>50</v>
      </c>
      <c r="N16" s="31" t="s">
        <v>51</v>
      </c>
      <c r="O16" s="32"/>
      <c r="P16" s="32"/>
      <c r="Q16" s="43" t="s">
        <v>33</v>
      </c>
      <c r="R16" s="44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>
      <c r="A17" s="10"/>
      <c r="B17" s="17"/>
      <c r="C17" s="18" t="s">
        <v>34</v>
      </c>
      <c r="D17" s="19" t="s">
        <v>52</v>
      </c>
      <c r="E17" s="20" t="s">
        <v>53</v>
      </c>
      <c r="F17" s="38" t="s">
        <v>54</v>
      </c>
      <c r="G17" s="39" t="s">
        <v>55</v>
      </c>
      <c r="H17" s="40">
        <v>46057</v>
      </c>
      <c r="I17" s="28" t="s">
        <v>56</v>
      </c>
      <c r="J17" s="29">
        <v>136240000</v>
      </c>
      <c r="K17" s="41">
        <v>136240000</v>
      </c>
      <c r="L17" s="26" t="s">
        <v>30</v>
      </c>
      <c r="M17" s="42" t="s">
        <v>57</v>
      </c>
      <c r="N17" s="31" t="s">
        <v>58</v>
      </c>
      <c r="O17" s="32"/>
      <c r="P17" s="32"/>
      <c r="Q17" s="43" t="s">
        <v>33</v>
      </c>
      <c r="R17" s="45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>
      <c r="A18" s="10"/>
      <c r="B18" s="17"/>
      <c r="C18" s="21"/>
      <c r="D18" s="21"/>
      <c r="E18" s="21"/>
      <c r="F18" s="21"/>
      <c r="G18" s="21"/>
      <c r="H18" s="21"/>
      <c r="I18" s="28" t="s">
        <v>41</v>
      </c>
      <c r="J18" s="29"/>
      <c r="K18" s="24"/>
      <c r="L18" s="24"/>
      <c r="M18" s="35"/>
      <c r="N18" s="31"/>
      <c r="O18" s="31"/>
      <c r="P18" s="31"/>
      <c r="Q18" s="24"/>
      <c r="R18" s="37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>
      <c r="A19" s="10">
        <v>3</v>
      </c>
      <c r="B19" s="17" t="s">
        <v>59</v>
      </c>
      <c r="C19" s="18" t="s">
        <v>23</v>
      </c>
      <c r="D19" s="19" t="s">
        <v>60</v>
      </c>
      <c r="E19" s="20" t="s">
        <v>25</v>
      </c>
      <c r="F19" s="19">
        <v>76061067</v>
      </c>
      <c r="G19" s="19" t="s">
        <v>61</v>
      </c>
      <c r="H19" s="22">
        <v>45786</v>
      </c>
      <c r="I19" s="28" t="s">
        <v>41</v>
      </c>
      <c r="J19" s="29"/>
      <c r="K19" s="24"/>
      <c r="L19" s="24"/>
      <c r="M19" s="35"/>
      <c r="N19" s="31"/>
      <c r="O19" s="31"/>
      <c r="P19" s="31"/>
      <c r="Q19" s="31"/>
      <c r="R19" s="33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>
      <c r="A20" s="10"/>
      <c r="B20" s="17"/>
      <c r="C20" s="18" t="s">
        <v>27</v>
      </c>
      <c r="D20" s="19" t="s">
        <v>60</v>
      </c>
      <c r="E20" s="20" t="s">
        <v>25</v>
      </c>
      <c r="F20" s="19">
        <v>76061067</v>
      </c>
      <c r="G20" s="19" t="s">
        <v>62</v>
      </c>
      <c r="H20" s="22">
        <v>46030</v>
      </c>
      <c r="I20" s="28" t="s">
        <v>41</v>
      </c>
      <c r="J20" s="29"/>
      <c r="K20" s="26"/>
      <c r="L20" s="26"/>
      <c r="M20" s="30"/>
      <c r="N20" s="31"/>
      <c r="O20" s="31"/>
      <c r="P20" s="31"/>
      <c r="Q20" s="31"/>
      <c r="R20" s="33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>
      <c r="A21" s="10"/>
      <c r="B21" s="17"/>
      <c r="C21" s="18" t="s">
        <v>34</v>
      </c>
      <c r="D21" s="19" t="s">
        <v>35</v>
      </c>
      <c r="E21" s="20" t="s">
        <v>36</v>
      </c>
      <c r="F21" s="19">
        <v>97050765</v>
      </c>
      <c r="G21" s="19" t="s">
        <v>37</v>
      </c>
      <c r="H21" s="22">
        <v>45999</v>
      </c>
      <c r="I21" s="28" t="s">
        <v>63</v>
      </c>
      <c r="J21" s="29">
        <v>5328000</v>
      </c>
      <c r="K21" s="29">
        <v>5328000</v>
      </c>
      <c r="L21" s="26" t="s">
        <v>30</v>
      </c>
      <c r="M21" s="30" t="s">
        <v>64</v>
      </c>
      <c r="N21" s="31" t="s">
        <v>65</v>
      </c>
      <c r="O21" s="32"/>
      <c r="P21" s="32"/>
      <c r="Q21" s="31" t="s">
        <v>33</v>
      </c>
      <c r="R21" s="33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>
      <c r="A22" s="10"/>
      <c r="B22" s="17"/>
      <c r="C22" s="18" t="s">
        <v>34</v>
      </c>
      <c r="D22" s="19" t="s">
        <v>35</v>
      </c>
      <c r="E22" s="20" t="s">
        <v>36</v>
      </c>
      <c r="F22" s="19">
        <v>97050765</v>
      </c>
      <c r="G22" s="19" t="s">
        <v>37</v>
      </c>
      <c r="H22" s="22">
        <v>45999</v>
      </c>
      <c r="I22" s="28" t="s">
        <v>66</v>
      </c>
      <c r="J22" s="29">
        <v>74400000</v>
      </c>
      <c r="K22" s="29">
        <v>74400000</v>
      </c>
      <c r="L22" s="26" t="s">
        <v>30</v>
      </c>
      <c r="M22" s="30" t="s">
        <v>67</v>
      </c>
      <c r="N22" s="31" t="s">
        <v>68</v>
      </c>
      <c r="O22" s="32"/>
      <c r="P22" s="32"/>
      <c r="Q22" s="31" t="s">
        <v>33</v>
      </c>
      <c r="R22" s="33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>
      <c r="A23" s="10"/>
      <c r="B23" s="17"/>
      <c r="C23" s="21"/>
      <c r="D23" s="21"/>
      <c r="E23" s="21"/>
      <c r="F23" s="21"/>
      <c r="G23" s="21"/>
      <c r="H23" s="21"/>
      <c r="I23" s="28" t="s">
        <v>69</v>
      </c>
      <c r="J23" s="29"/>
      <c r="K23" s="24"/>
      <c r="L23" s="24"/>
      <c r="M23" s="35"/>
      <c r="N23" s="31"/>
      <c r="O23" s="31"/>
      <c r="P23" s="31"/>
      <c r="Q23" s="24"/>
      <c r="R23" s="37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>
      <c r="A24" s="10"/>
      <c r="B24" s="17"/>
      <c r="C24" s="19"/>
      <c r="D24" s="19"/>
      <c r="E24" s="19"/>
      <c r="F24" s="19"/>
      <c r="G24" s="19"/>
      <c r="H24" s="22"/>
      <c r="I24" s="28"/>
      <c r="J24" s="29"/>
      <c r="K24" s="24"/>
      <c r="L24" s="24"/>
      <c r="M24" s="35"/>
      <c r="N24" s="31"/>
      <c r="O24" s="31"/>
      <c r="P24" s="31"/>
      <c r="Q24" s="31"/>
      <c r="R24" s="33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>
      <c r="A25" s="10">
        <v>4</v>
      </c>
      <c r="B25" s="17" t="s">
        <v>70</v>
      </c>
      <c r="C25" s="18" t="s">
        <v>23</v>
      </c>
      <c r="D25" s="19" t="s">
        <v>71</v>
      </c>
      <c r="E25" s="20" t="s">
        <v>25</v>
      </c>
      <c r="F25" s="19">
        <v>77010817</v>
      </c>
      <c r="G25" s="19" t="s">
        <v>72</v>
      </c>
      <c r="H25" s="22">
        <v>46010</v>
      </c>
      <c r="I25" s="28" t="s">
        <v>41</v>
      </c>
      <c r="J25" s="29"/>
      <c r="K25" s="24"/>
      <c r="L25" s="24"/>
      <c r="M25" s="35"/>
      <c r="N25" s="31"/>
      <c r="O25" s="31"/>
      <c r="P25" s="31"/>
      <c r="Q25" s="31"/>
      <c r="R25" s="33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>
      <c r="A26" s="10"/>
      <c r="B26" s="17"/>
      <c r="C26" s="18" t="s">
        <v>27</v>
      </c>
      <c r="D26" s="19" t="s">
        <v>73</v>
      </c>
      <c r="E26" s="20" t="s">
        <v>46</v>
      </c>
      <c r="F26" s="19" t="s">
        <v>74</v>
      </c>
      <c r="G26" s="19" t="s">
        <v>75</v>
      </c>
      <c r="H26" s="22">
        <v>46007</v>
      </c>
      <c r="I26" s="28" t="s">
        <v>41</v>
      </c>
      <c r="J26" s="29"/>
      <c r="K26" s="24"/>
      <c r="L26" s="24"/>
      <c r="M26" s="35"/>
      <c r="N26" s="31"/>
      <c r="O26" s="31"/>
      <c r="P26" s="31"/>
      <c r="Q26" s="31"/>
      <c r="R26" s="33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>
      <c r="A27" s="10"/>
      <c r="B27" s="17"/>
      <c r="C27" s="18" t="s">
        <v>34</v>
      </c>
      <c r="D27" s="19" t="s">
        <v>76</v>
      </c>
      <c r="E27" s="20" t="s">
        <v>53</v>
      </c>
      <c r="F27" s="19" t="s">
        <v>77</v>
      </c>
      <c r="G27" s="19" t="s">
        <v>78</v>
      </c>
      <c r="H27" s="22">
        <v>46021</v>
      </c>
      <c r="I27" s="28" t="s">
        <v>79</v>
      </c>
      <c r="J27" s="29">
        <v>83980000</v>
      </c>
      <c r="K27" s="29">
        <v>79778000</v>
      </c>
      <c r="L27" s="26" t="s">
        <v>30</v>
      </c>
      <c r="M27" s="30" t="s">
        <v>80</v>
      </c>
      <c r="N27" s="31" t="s">
        <v>81</v>
      </c>
      <c r="O27" s="32"/>
      <c r="P27" s="32"/>
      <c r="Q27" s="31" t="s">
        <v>33</v>
      </c>
      <c r="R27" s="33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>
      <c r="A28" s="10"/>
      <c r="B28" s="17"/>
      <c r="C28" s="18" t="s">
        <v>34</v>
      </c>
      <c r="D28" s="19" t="s">
        <v>76</v>
      </c>
      <c r="E28" s="20" t="s">
        <v>53</v>
      </c>
      <c r="F28" s="19" t="s">
        <v>77</v>
      </c>
      <c r="G28" s="19" t="s">
        <v>78</v>
      </c>
      <c r="H28" s="22">
        <v>46021</v>
      </c>
      <c r="I28" s="28" t="s">
        <v>82</v>
      </c>
      <c r="J28" s="29">
        <v>53600000</v>
      </c>
      <c r="K28" s="29">
        <v>53500000</v>
      </c>
      <c r="L28" s="26" t="s">
        <v>30</v>
      </c>
      <c r="M28" s="30" t="s">
        <v>83</v>
      </c>
      <c r="N28" s="31" t="s">
        <v>84</v>
      </c>
      <c r="O28" s="32"/>
      <c r="P28" s="32"/>
      <c r="Q28" s="31" t="s">
        <v>33</v>
      </c>
      <c r="R28" s="33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>
      <c r="A29" s="10"/>
      <c r="B29" s="17"/>
      <c r="C29" s="18" t="s">
        <v>34</v>
      </c>
      <c r="D29" s="19" t="s">
        <v>76</v>
      </c>
      <c r="E29" s="20" t="s">
        <v>53</v>
      </c>
      <c r="F29" s="19" t="s">
        <v>77</v>
      </c>
      <c r="G29" s="19" t="s">
        <v>78</v>
      </c>
      <c r="H29" s="22">
        <v>46021</v>
      </c>
      <c r="I29" s="28" t="s">
        <v>85</v>
      </c>
      <c r="J29" s="29">
        <v>5850000</v>
      </c>
      <c r="K29" s="29">
        <v>4366000</v>
      </c>
      <c r="L29" s="26" t="s">
        <v>30</v>
      </c>
      <c r="M29" s="30" t="s">
        <v>86</v>
      </c>
      <c r="N29" s="31" t="s">
        <v>87</v>
      </c>
      <c r="O29" s="32"/>
      <c r="P29" s="32"/>
      <c r="Q29" s="31" t="s">
        <v>33</v>
      </c>
      <c r="R29" s="33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>
      <c r="A30" s="10"/>
      <c r="B30" s="17"/>
      <c r="C30" s="18" t="s">
        <v>34</v>
      </c>
      <c r="D30" s="19" t="s">
        <v>76</v>
      </c>
      <c r="E30" s="20" t="s">
        <v>53</v>
      </c>
      <c r="F30" s="19" t="s">
        <v>77</v>
      </c>
      <c r="G30" s="19" t="s">
        <v>78</v>
      </c>
      <c r="H30" s="22">
        <v>46021</v>
      </c>
      <c r="I30" s="28" t="s">
        <v>88</v>
      </c>
      <c r="J30" s="29">
        <v>14340000</v>
      </c>
      <c r="K30" s="29">
        <v>10474500</v>
      </c>
      <c r="L30" s="26" t="s">
        <v>89</v>
      </c>
      <c r="M30" s="30" t="s">
        <v>86</v>
      </c>
      <c r="N30" s="46" t="s">
        <v>90</v>
      </c>
      <c r="O30" s="32"/>
      <c r="P30" s="32"/>
      <c r="Q30" s="31" t="s">
        <v>33</v>
      </c>
      <c r="R30" s="33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>
      <c r="A31" s="10"/>
      <c r="B31" s="17"/>
      <c r="C31" s="18" t="s">
        <v>34</v>
      </c>
      <c r="D31" s="19" t="s">
        <v>76</v>
      </c>
      <c r="E31" s="20" t="s">
        <v>53</v>
      </c>
      <c r="F31" s="19" t="s">
        <v>77</v>
      </c>
      <c r="G31" s="19" t="s">
        <v>78</v>
      </c>
      <c r="H31" s="22">
        <v>46021</v>
      </c>
      <c r="I31" s="28" t="s">
        <v>91</v>
      </c>
      <c r="J31" s="29">
        <v>12000000</v>
      </c>
      <c r="K31" s="29">
        <v>4875000</v>
      </c>
      <c r="L31" s="26" t="s">
        <v>30</v>
      </c>
      <c r="M31" s="30" t="s">
        <v>86</v>
      </c>
      <c r="N31" s="31" t="s">
        <v>92</v>
      </c>
      <c r="O31" s="32"/>
      <c r="P31" s="32"/>
      <c r="Q31" s="31" t="s">
        <v>33</v>
      </c>
      <c r="R31" s="33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>
      <c r="A32" s="10"/>
      <c r="B32" s="17"/>
      <c r="C32" s="21"/>
      <c r="D32" s="21"/>
      <c r="E32" s="21"/>
      <c r="F32" s="21"/>
      <c r="G32" s="21"/>
      <c r="H32" s="21"/>
      <c r="I32" s="28"/>
      <c r="J32" s="29"/>
      <c r="K32" s="24"/>
      <c r="L32" s="24"/>
      <c r="M32" s="35"/>
      <c r="N32" s="31"/>
      <c r="O32" s="31"/>
      <c r="P32" s="31"/>
      <c r="Q32" s="24"/>
      <c r="R32" s="37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>
      <c r="A33" s="10">
        <v>5</v>
      </c>
      <c r="B33" s="17" t="s">
        <v>93</v>
      </c>
      <c r="C33" s="18" t="s">
        <v>23</v>
      </c>
      <c r="D33" s="19" t="s">
        <v>94</v>
      </c>
      <c r="E33" s="20" t="s">
        <v>25</v>
      </c>
      <c r="F33" s="19">
        <v>69030314</v>
      </c>
      <c r="G33" s="19" t="s">
        <v>95</v>
      </c>
      <c r="H33" s="22">
        <v>45832</v>
      </c>
      <c r="I33" s="28" t="s">
        <v>41</v>
      </c>
      <c r="J33" s="29"/>
      <c r="K33" s="24"/>
      <c r="L33" s="24"/>
      <c r="M33" s="35"/>
      <c r="N33" s="31"/>
      <c r="O33" s="31"/>
      <c r="P33" s="31"/>
      <c r="Q33" s="31" t="s">
        <v>33</v>
      </c>
      <c r="R33" s="33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>
      <c r="A34" s="10"/>
      <c r="B34" s="17"/>
      <c r="C34" s="18" t="s">
        <v>27</v>
      </c>
      <c r="D34" s="19" t="s">
        <v>96</v>
      </c>
      <c r="E34" s="20" t="s">
        <v>97</v>
      </c>
      <c r="F34" s="19">
        <v>88110790</v>
      </c>
      <c r="G34" s="19" t="s">
        <v>98</v>
      </c>
      <c r="H34" s="22">
        <v>46000</v>
      </c>
      <c r="I34" s="28" t="s">
        <v>99</v>
      </c>
      <c r="J34" s="29">
        <v>9170755000</v>
      </c>
      <c r="K34" s="26"/>
      <c r="L34" s="26" t="s">
        <v>30</v>
      </c>
      <c r="M34" s="30" t="s">
        <v>100</v>
      </c>
      <c r="N34" s="31" t="s">
        <v>101</v>
      </c>
      <c r="O34" s="32"/>
      <c r="P34" s="32"/>
      <c r="Q34" s="31" t="s">
        <v>33</v>
      </c>
      <c r="R34" s="33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>
      <c r="A35" s="10"/>
      <c r="B35" s="17"/>
      <c r="C35" s="21"/>
      <c r="D35" s="19" t="s">
        <v>96</v>
      </c>
      <c r="E35" s="20" t="s">
        <v>97</v>
      </c>
      <c r="F35" s="19">
        <v>88110790</v>
      </c>
      <c r="G35" s="19" t="s">
        <v>98</v>
      </c>
      <c r="H35" s="22">
        <v>46000</v>
      </c>
      <c r="I35" s="28" t="s">
        <v>102</v>
      </c>
      <c r="J35" s="29">
        <v>5990250000</v>
      </c>
      <c r="K35" s="26"/>
      <c r="L35" s="26" t="s">
        <v>30</v>
      </c>
      <c r="M35" s="30" t="s">
        <v>103</v>
      </c>
      <c r="N35" s="31" t="s">
        <v>104</v>
      </c>
      <c r="O35" s="32"/>
      <c r="P35" s="32"/>
      <c r="Q35" s="31" t="s">
        <v>33</v>
      </c>
      <c r="R35" s="33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>
      <c r="A36" s="10"/>
      <c r="B36" s="17"/>
      <c r="C36" s="18" t="s">
        <v>34</v>
      </c>
      <c r="D36" s="19" t="s">
        <v>105</v>
      </c>
      <c r="E36" s="20" t="s">
        <v>36</v>
      </c>
      <c r="F36" s="19">
        <v>97050765</v>
      </c>
      <c r="G36" s="19" t="s">
        <v>106</v>
      </c>
      <c r="H36" s="22">
        <v>46021</v>
      </c>
      <c r="I36" s="28" t="s">
        <v>107</v>
      </c>
      <c r="J36" s="29">
        <v>168000000</v>
      </c>
      <c r="K36" s="26"/>
      <c r="L36" s="26" t="s">
        <v>30</v>
      </c>
      <c r="M36" s="30" t="s">
        <v>108</v>
      </c>
      <c r="N36" s="31" t="s">
        <v>109</v>
      </c>
      <c r="O36" s="32"/>
      <c r="P36" s="32"/>
      <c r="Q36" s="31" t="s">
        <v>33</v>
      </c>
      <c r="R36" s="33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ht="13.8">
      <c r="A37" s="10"/>
      <c r="B37" s="17"/>
      <c r="C37" s="21"/>
      <c r="D37" s="19"/>
      <c r="E37" s="19"/>
      <c r="F37" s="19"/>
      <c r="G37" s="19"/>
      <c r="H37" s="47"/>
      <c r="I37" s="28" t="s">
        <v>110</v>
      </c>
      <c r="J37" s="29">
        <v>79040000</v>
      </c>
      <c r="K37" s="26"/>
      <c r="L37" s="26" t="s">
        <v>30</v>
      </c>
      <c r="M37" s="30" t="s">
        <v>111</v>
      </c>
      <c r="N37" s="31" t="s">
        <v>112</v>
      </c>
      <c r="O37" s="32"/>
      <c r="P37" s="32"/>
      <c r="Q37" s="31" t="s">
        <v>33</v>
      </c>
      <c r="R37" s="33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ht="13.8">
      <c r="A38" s="10"/>
      <c r="B38" s="17"/>
      <c r="C38" s="48"/>
      <c r="D38" s="48"/>
      <c r="E38" s="48"/>
      <c r="F38" s="48"/>
      <c r="G38" s="48"/>
      <c r="H38" s="48"/>
      <c r="I38" s="49" t="s">
        <v>41</v>
      </c>
      <c r="J38" s="29"/>
      <c r="K38" s="37"/>
      <c r="L38" s="37"/>
      <c r="M38" s="50"/>
      <c r="N38" s="31"/>
      <c r="O38" s="31"/>
      <c r="P38" s="31"/>
      <c r="Q38" s="24"/>
      <c r="R38" s="37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ht="13.8">
      <c r="A39" s="10">
        <v>6</v>
      </c>
      <c r="B39" s="17" t="s">
        <v>113</v>
      </c>
      <c r="C39" s="18" t="s">
        <v>23</v>
      </c>
      <c r="D39" s="19" t="s">
        <v>114</v>
      </c>
      <c r="E39" s="20" t="s">
        <v>25</v>
      </c>
      <c r="F39" s="19">
        <v>68080624</v>
      </c>
      <c r="G39" s="19" t="s">
        <v>115</v>
      </c>
      <c r="H39" s="22">
        <v>45655</v>
      </c>
      <c r="I39" s="28" t="s">
        <v>41</v>
      </c>
      <c r="J39" s="29"/>
      <c r="K39" s="24"/>
      <c r="L39" s="24"/>
      <c r="M39" s="30"/>
      <c r="N39" s="31"/>
      <c r="O39" s="31"/>
      <c r="P39" s="31"/>
      <c r="Q39" s="31"/>
      <c r="R39" s="33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ht="13.8">
      <c r="A40" s="10"/>
      <c r="B40" s="17"/>
      <c r="C40" s="18" t="s">
        <v>27</v>
      </c>
      <c r="D40" s="19" t="s">
        <v>114</v>
      </c>
      <c r="E40" s="20" t="s">
        <v>25</v>
      </c>
      <c r="F40" s="19">
        <v>68080624</v>
      </c>
      <c r="G40" s="19" t="s">
        <v>116</v>
      </c>
      <c r="H40" s="22">
        <v>46000</v>
      </c>
      <c r="I40" s="28" t="s">
        <v>117</v>
      </c>
      <c r="J40" s="29">
        <v>109926032</v>
      </c>
      <c r="K40" s="51">
        <v>109926032</v>
      </c>
      <c r="L40" s="26" t="s">
        <v>30</v>
      </c>
      <c r="M40" s="30" t="s">
        <v>118</v>
      </c>
      <c r="N40" s="31" t="s">
        <v>119</v>
      </c>
      <c r="O40" s="32"/>
      <c r="P40" s="32"/>
      <c r="Q40" s="31" t="s">
        <v>33</v>
      </c>
      <c r="R40" s="33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ht="13.8">
      <c r="A41" s="10"/>
      <c r="B41" s="17"/>
      <c r="C41" s="18" t="s">
        <v>27</v>
      </c>
      <c r="D41" s="19" t="s">
        <v>114</v>
      </c>
      <c r="E41" s="20" t="s">
        <v>25</v>
      </c>
      <c r="F41" s="19">
        <v>68080624</v>
      </c>
      <c r="G41" s="19" t="s">
        <v>116</v>
      </c>
      <c r="H41" s="22">
        <v>46000</v>
      </c>
      <c r="I41" s="28" t="s">
        <v>120</v>
      </c>
      <c r="J41" s="29">
        <v>388000000</v>
      </c>
      <c r="K41" s="51">
        <v>388000000</v>
      </c>
      <c r="L41" s="26" t="s">
        <v>30</v>
      </c>
      <c r="M41" s="30" t="s">
        <v>121</v>
      </c>
      <c r="N41" s="31" t="s">
        <v>122</v>
      </c>
      <c r="O41" s="32"/>
      <c r="P41" s="32"/>
      <c r="Q41" s="31" t="s">
        <v>33</v>
      </c>
      <c r="R41" s="33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ht="13.8">
      <c r="A42" s="10"/>
      <c r="B42" s="17"/>
      <c r="C42" s="18" t="s">
        <v>34</v>
      </c>
      <c r="D42" s="19" t="s">
        <v>123</v>
      </c>
      <c r="E42" s="20" t="s">
        <v>124</v>
      </c>
      <c r="F42" s="19">
        <v>88090870</v>
      </c>
      <c r="G42" s="19" t="s">
        <v>125</v>
      </c>
      <c r="H42" s="22">
        <v>45996</v>
      </c>
      <c r="I42" s="28" t="s">
        <v>126</v>
      </c>
      <c r="J42" s="29">
        <v>96360000</v>
      </c>
      <c r="K42" s="51">
        <v>96360000</v>
      </c>
      <c r="L42" s="26" t="s">
        <v>30</v>
      </c>
      <c r="M42" s="30" t="s">
        <v>127</v>
      </c>
      <c r="N42" s="31" t="s">
        <v>128</v>
      </c>
      <c r="O42" s="32"/>
      <c r="P42" s="32"/>
      <c r="Q42" s="31" t="s">
        <v>33</v>
      </c>
      <c r="R42" s="33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ht="13.8">
      <c r="A43" s="10"/>
      <c r="B43" s="17"/>
      <c r="C43" s="18" t="s">
        <v>34</v>
      </c>
      <c r="D43" s="19" t="s">
        <v>123</v>
      </c>
      <c r="E43" s="20" t="s">
        <v>124</v>
      </c>
      <c r="F43" s="19">
        <v>88090870</v>
      </c>
      <c r="G43" s="19" t="s">
        <v>129</v>
      </c>
      <c r="H43" s="22">
        <v>45999</v>
      </c>
      <c r="I43" s="28" t="s">
        <v>130</v>
      </c>
      <c r="J43" s="29">
        <v>147440000</v>
      </c>
      <c r="K43" s="51">
        <v>147440000</v>
      </c>
      <c r="L43" s="26" t="s">
        <v>30</v>
      </c>
      <c r="M43" s="30" t="s">
        <v>131</v>
      </c>
      <c r="N43" s="31" t="s">
        <v>132</v>
      </c>
      <c r="O43" s="32"/>
      <c r="P43" s="32"/>
      <c r="Q43" s="31" t="s">
        <v>33</v>
      </c>
      <c r="R43" s="33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ht="13.8">
      <c r="A44" s="10"/>
      <c r="B44" s="17"/>
      <c r="C44" s="21"/>
      <c r="D44" s="21"/>
      <c r="E44" s="21"/>
      <c r="F44" s="21"/>
      <c r="G44" s="21"/>
      <c r="H44" s="21"/>
      <c r="I44" s="28" t="s">
        <v>41</v>
      </c>
      <c r="J44" s="29"/>
      <c r="K44" s="24"/>
      <c r="L44" s="24"/>
      <c r="M44" s="35"/>
      <c r="N44" s="31"/>
      <c r="O44" s="31"/>
      <c r="P44" s="31"/>
      <c r="Q44" s="24"/>
      <c r="R44" s="37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ht="13.8">
      <c r="A45" s="10">
        <v>7</v>
      </c>
      <c r="B45" s="17" t="s">
        <v>133</v>
      </c>
      <c r="C45" s="18" t="s">
        <v>23</v>
      </c>
      <c r="D45" s="19" t="s">
        <v>134</v>
      </c>
      <c r="E45" s="20" t="s">
        <v>25</v>
      </c>
      <c r="F45" s="19">
        <v>81011266</v>
      </c>
      <c r="G45" s="19" t="s">
        <v>135</v>
      </c>
      <c r="H45" s="22">
        <v>46006</v>
      </c>
      <c r="I45" s="28" t="s">
        <v>41</v>
      </c>
      <c r="J45" s="29"/>
      <c r="K45" s="24"/>
      <c r="L45" s="24"/>
      <c r="M45" s="35"/>
      <c r="N45" s="31"/>
      <c r="O45" s="31"/>
      <c r="P45" s="31"/>
      <c r="Q45" s="31" t="s">
        <v>33</v>
      </c>
      <c r="R45" s="33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ht="13.8">
      <c r="A46" s="10"/>
      <c r="B46" s="17"/>
      <c r="C46" s="18" t="s">
        <v>27</v>
      </c>
      <c r="D46" s="19" t="s">
        <v>134</v>
      </c>
      <c r="E46" s="20" t="s">
        <v>25</v>
      </c>
      <c r="F46" s="19">
        <v>81011266</v>
      </c>
      <c r="G46" s="19" t="s">
        <v>136</v>
      </c>
      <c r="H46" s="22">
        <v>46034</v>
      </c>
      <c r="I46" s="28" t="s">
        <v>137</v>
      </c>
      <c r="J46" s="29">
        <v>446400000</v>
      </c>
      <c r="K46" s="51">
        <v>446400000</v>
      </c>
      <c r="L46" s="26" t="s">
        <v>30</v>
      </c>
      <c r="M46" s="30" t="s">
        <v>138</v>
      </c>
      <c r="N46" s="31" t="s">
        <v>139</v>
      </c>
      <c r="O46" s="32"/>
      <c r="P46" s="32"/>
      <c r="Q46" s="31" t="s">
        <v>33</v>
      </c>
      <c r="R46" s="33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ht="13.8">
      <c r="A47" s="10"/>
      <c r="B47" s="17"/>
      <c r="C47" s="18" t="s">
        <v>27</v>
      </c>
      <c r="D47" s="19" t="s">
        <v>134</v>
      </c>
      <c r="E47" s="20" t="s">
        <v>25</v>
      </c>
      <c r="F47" s="19">
        <v>81011266</v>
      </c>
      <c r="G47" s="19" t="s">
        <v>136</v>
      </c>
      <c r="H47" s="22">
        <v>46034</v>
      </c>
      <c r="I47" s="28" t="s">
        <v>140</v>
      </c>
      <c r="J47" s="29">
        <v>225700000</v>
      </c>
      <c r="K47" s="51">
        <v>225700000</v>
      </c>
      <c r="L47" s="26" t="s">
        <v>30</v>
      </c>
      <c r="M47" s="30" t="s">
        <v>141</v>
      </c>
      <c r="N47" s="31" t="s">
        <v>142</v>
      </c>
      <c r="O47" s="32"/>
      <c r="P47" s="32"/>
      <c r="Q47" s="31" t="s">
        <v>33</v>
      </c>
      <c r="R47" s="33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ht="13.8">
      <c r="A48" s="10"/>
      <c r="B48" s="17"/>
      <c r="C48" s="18" t="s">
        <v>27</v>
      </c>
      <c r="D48" s="19" t="s">
        <v>134</v>
      </c>
      <c r="E48" s="20" t="s">
        <v>25</v>
      </c>
      <c r="F48" s="19">
        <v>81011266</v>
      </c>
      <c r="G48" s="19" t="s">
        <v>136</v>
      </c>
      <c r="H48" s="22">
        <v>46034</v>
      </c>
      <c r="I48" s="28" t="s">
        <v>143</v>
      </c>
      <c r="J48" s="29">
        <v>367710000</v>
      </c>
      <c r="K48" s="51">
        <v>367710000</v>
      </c>
      <c r="L48" s="26" t="s">
        <v>30</v>
      </c>
      <c r="M48" s="30" t="s">
        <v>144</v>
      </c>
      <c r="N48" s="31" t="s">
        <v>145</v>
      </c>
      <c r="O48" s="32"/>
      <c r="P48" s="32"/>
      <c r="Q48" s="31" t="s">
        <v>33</v>
      </c>
      <c r="R48" s="33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ht="13.8">
      <c r="A49" s="10"/>
      <c r="B49" s="17"/>
      <c r="C49" s="18" t="s">
        <v>34</v>
      </c>
      <c r="D49" s="19" t="s">
        <v>146</v>
      </c>
      <c r="E49" s="20" t="s">
        <v>53</v>
      </c>
      <c r="F49" s="52" t="s">
        <v>54</v>
      </c>
      <c r="G49" s="19" t="s">
        <v>147</v>
      </c>
      <c r="H49" s="22">
        <v>46021</v>
      </c>
      <c r="I49" s="28" t="s">
        <v>148</v>
      </c>
      <c r="J49" s="29">
        <v>97536000</v>
      </c>
      <c r="K49" s="51">
        <v>97536000</v>
      </c>
      <c r="L49" s="26" t="s">
        <v>30</v>
      </c>
      <c r="M49" s="30" t="s">
        <v>149</v>
      </c>
      <c r="N49" s="31" t="s">
        <v>150</v>
      </c>
      <c r="O49" s="32"/>
      <c r="P49" s="32"/>
      <c r="Q49" s="31" t="s">
        <v>33</v>
      </c>
      <c r="R49" s="33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13.8">
      <c r="A50" s="10"/>
      <c r="B50" s="17"/>
      <c r="C50" s="18" t="s">
        <v>34</v>
      </c>
      <c r="D50" s="19" t="s">
        <v>146</v>
      </c>
      <c r="E50" s="20" t="s">
        <v>53</v>
      </c>
      <c r="F50" s="52" t="s">
        <v>54</v>
      </c>
      <c r="G50" s="19" t="s">
        <v>147</v>
      </c>
      <c r="H50" s="22">
        <v>46021</v>
      </c>
      <c r="I50" s="28" t="s">
        <v>151</v>
      </c>
      <c r="J50" s="29">
        <v>65178000</v>
      </c>
      <c r="K50" s="51">
        <v>65178000</v>
      </c>
      <c r="L50" s="26" t="s">
        <v>30</v>
      </c>
      <c r="M50" s="30" t="s">
        <v>131</v>
      </c>
      <c r="N50" s="31" t="s">
        <v>152</v>
      </c>
      <c r="O50" s="32"/>
      <c r="P50" s="32"/>
      <c r="Q50" s="31" t="s">
        <v>33</v>
      </c>
      <c r="R50" s="33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13.8">
      <c r="A51" s="10"/>
      <c r="B51" s="17"/>
      <c r="C51" s="18" t="s">
        <v>34</v>
      </c>
      <c r="D51" s="19" t="s">
        <v>146</v>
      </c>
      <c r="E51" s="20" t="s">
        <v>53</v>
      </c>
      <c r="F51" s="52" t="s">
        <v>54</v>
      </c>
      <c r="G51" s="19" t="s">
        <v>147</v>
      </c>
      <c r="H51" s="22">
        <v>46021</v>
      </c>
      <c r="I51" s="28" t="s">
        <v>153</v>
      </c>
      <c r="J51" s="29">
        <v>194180000</v>
      </c>
      <c r="K51" s="51">
        <v>194180000</v>
      </c>
      <c r="L51" s="26" t="s">
        <v>30</v>
      </c>
      <c r="M51" s="30" t="s">
        <v>154</v>
      </c>
      <c r="N51" s="31" t="s">
        <v>155</v>
      </c>
      <c r="O51" s="32"/>
      <c r="P51" s="32"/>
      <c r="Q51" s="31" t="s">
        <v>33</v>
      </c>
      <c r="R51" s="33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ht="13.8">
      <c r="A52" s="10"/>
      <c r="B52" s="17"/>
      <c r="C52" s="21"/>
      <c r="D52" s="21"/>
      <c r="E52" s="21"/>
      <c r="F52" s="21"/>
      <c r="G52" s="21"/>
      <c r="H52" s="21"/>
      <c r="I52" s="28" t="s">
        <v>41</v>
      </c>
      <c r="J52" s="29"/>
      <c r="K52" s="24"/>
      <c r="L52" s="24"/>
      <c r="M52" s="35"/>
      <c r="N52" s="31"/>
      <c r="O52" s="31"/>
      <c r="P52" s="31"/>
      <c r="Q52" s="24"/>
      <c r="R52" s="37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13.8">
      <c r="A53" s="10">
        <v>8</v>
      </c>
      <c r="B53" s="17" t="s">
        <v>156</v>
      </c>
      <c r="C53" s="18" t="s">
        <v>23</v>
      </c>
      <c r="D53" s="19" t="s">
        <v>157</v>
      </c>
      <c r="E53" s="20" t="s">
        <v>25</v>
      </c>
      <c r="F53" s="19">
        <v>77050670</v>
      </c>
      <c r="G53" s="19" t="s">
        <v>158</v>
      </c>
      <c r="H53" s="22">
        <v>45785</v>
      </c>
      <c r="I53" s="28" t="s">
        <v>41</v>
      </c>
      <c r="J53" s="29"/>
      <c r="K53" s="24"/>
      <c r="L53" s="24"/>
      <c r="M53" s="30"/>
      <c r="N53" s="31"/>
      <c r="O53" s="31"/>
      <c r="P53" s="31"/>
      <c r="Q53" s="31"/>
      <c r="R53" s="33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ht="13.8">
      <c r="A54" s="53"/>
      <c r="B54" s="53"/>
      <c r="C54" s="18" t="s">
        <v>27</v>
      </c>
      <c r="D54" s="19" t="s">
        <v>159</v>
      </c>
      <c r="E54" s="20" t="s">
        <v>160</v>
      </c>
      <c r="F54" s="52" t="s">
        <v>161</v>
      </c>
      <c r="G54" s="19" t="s">
        <v>162</v>
      </c>
      <c r="H54" s="22">
        <v>46015</v>
      </c>
      <c r="I54" s="28" t="s">
        <v>41</v>
      </c>
      <c r="J54" s="29"/>
      <c r="K54" s="24"/>
      <c r="L54" s="24"/>
      <c r="M54" s="35"/>
      <c r="N54" s="31"/>
      <c r="O54" s="31"/>
      <c r="P54" s="31"/>
      <c r="Q54" s="31"/>
      <c r="R54" s="33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ht="13.8">
      <c r="A55" s="10"/>
      <c r="B55" s="17"/>
      <c r="C55" s="18" t="s">
        <v>34</v>
      </c>
      <c r="D55" s="54" t="s">
        <v>163</v>
      </c>
      <c r="E55" s="20" t="s">
        <v>164</v>
      </c>
      <c r="F55" s="54">
        <v>77061047</v>
      </c>
      <c r="G55" s="19" t="s">
        <v>165</v>
      </c>
      <c r="H55" s="22">
        <v>46015</v>
      </c>
      <c r="I55" s="28" t="s">
        <v>166</v>
      </c>
      <c r="J55" s="29">
        <v>48545000</v>
      </c>
      <c r="K55" s="51">
        <v>48545000</v>
      </c>
      <c r="L55" s="26" t="s">
        <v>30</v>
      </c>
      <c r="M55" s="54" t="s">
        <v>167</v>
      </c>
      <c r="N55" s="31" t="s">
        <v>168</v>
      </c>
      <c r="O55" s="32"/>
      <c r="P55" s="32"/>
      <c r="Q55" s="31" t="s">
        <v>33</v>
      </c>
      <c r="R55" s="33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13.8">
      <c r="A56" s="10"/>
      <c r="B56" s="17"/>
      <c r="C56" s="18" t="s">
        <v>34</v>
      </c>
      <c r="D56" s="54" t="s">
        <v>163</v>
      </c>
      <c r="E56" s="20" t="s">
        <v>164</v>
      </c>
      <c r="F56" s="54">
        <v>77061047</v>
      </c>
      <c r="G56" s="19" t="s">
        <v>165</v>
      </c>
      <c r="H56" s="22">
        <v>46015</v>
      </c>
      <c r="I56" s="28" t="s">
        <v>169</v>
      </c>
      <c r="J56" s="29">
        <v>95210000</v>
      </c>
      <c r="K56" s="51">
        <v>95210000</v>
      </c>
      <c r="L56" s="26" t="s">
        <v>30</v>
      </c>
      <c r="M56" s="30" t="s">
        <v>170</v>
      </c>
      <c r="N56" s="31" t="s">
        <v>171</v>
      </c>
      <c r="O56" s="32"/>
      <c r="P56" s="32"/>
      <c r="Q56" s="31" t="s">
        <v>33</v>
      </c>
      <c r="R56" s="33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13.8">
      <c r="A57" s="10"/>
      <c r="B57" s="17"/>
      <c r="C57" s="18" t="s">
        <v>34</v>
      </c>
      <c r="D57" s="54" t="s">
        <v>163</v>
      </c>
      <c r="E57" s="20" t="s">
        <v>164</v>
      </c>
      <c r="F57" s="54">
        <v>77061047</v>
      </c>
      <c r="G57" s="19" t="s">
        <v>165</v>
      </c>
      <c r="H57" s="22">
        <v>46015</v>
      </c>
      <c r="I57" s="28" t="s">
        <v>172</v>
      </c>
      <c r="J57" s="29">
        <v>75124000</v>
      </c>
      <c r="K57" s="51">
        <v>75124000</v>
      </c>
      <c r="L57" s="26" t="s">
        <v>30</v>
      </c>
      <c r="M57" s="30" t="s">
        <v>170</v>
      </c>
      <c r="N57" s="31" t="s">
        <v>171</v>
      </c>
      <c r="O57" s="32"/>
      <c r="P57" s="32"/>
      <c r="Q57" s="31" t="s">
        <v>33</v>
      </c>
      <c r="R57" s="33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13.8">
      <c r="A58" s="10"/>
      <c r="B58" s="17"/>
      <c r="C58" s="18" t="s">
        <v>34</v>
      </c>
      <c r="D58" s="54" t="s">
        <v>163</v>
      </c>
      <c r="E58" s="20" t="s">
        <v>164</v>
      </c>
      <c r="F58" s="54">
        <v>77061047</v>
      </c>
      <c r="G58" s="19" t="s">
        <v>165</v>
      </c>
      <c r="H58" s="22">
        <v>46015</v>
      </c>
      <c r="I58" s="28" t="s">
        <v>173</v>
      </c>
      <c r="J58" s="29">
        <v>5440000</v>
      </c>
      <c r="K58" s="51">
        <v>5440000</v>
      </c>
      <c r="L58" s="26" t="s">
        <v>30</v>
      </c>
      <c r="M58" s="30" t="s">
        <v>170</v>
      </c>
      <c r="N58" s="31" t="s">
        <v>171</v>
      </c>
      <c r="O58" s="32"/>
      <c r="P58" s="32"/>
      <c r="Q58" s="31" t="s">
        <v>33</v>
      </c>
      <c r="R58" s="33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13.8">
      <c r="A59" s="10"/>
      <c r="B59" s="17"/>
      <c r="C59" s="18" t="s">
        <v>34</v>
      </c>
      <c r="D59" s="54" t="s">
        <v>163</v>
      </c>
      <c r="E59" s="20" t="s">
        <v>164</v>
      </c>
      <c r="F59" s="54">
        <v>77061047</v>
      </c>
      <c r="G59" s="19" t="s">
        <v>165</v>
      </c>
      <c r="H59" s="22">
        <v>46015</v>
      </c>
      <c r="I59" s="28" t="s">
        <v>174</v>
      </c>
      <c r="J59" s="29">
        <v>115200000</v>
      </c>
      <c r="K59" s="51">
        <v>115200000</v>
      </c>
      <c r="L59" s="26" t="s">
        <v>30</v>
      </c>
      <c r="M59" s="30" t="s">
        <v>175</v>
      </c>
      <c r="N59" s="31" t="s">
        <v>176</v>
      </c>
      <c r="O59" s="32"/>
      <c r="P59" s="32"/>
      <c r="Q59" s="31" t="s">
        <v>33</v>
      </c>
      <c r="R59" s="33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13.8">
      <c r="A60" s="10"/>
      <c r="B60" s="17"/>
      <c r="C60" s="18" t="s">
        <v>34</v>
      </c>
      <c r="D60" s="54" t="s">
        <v>163</v>
      </c>
      <c r="E60" s="20" t="s">
        <v>164</v>
      </c>
      <c r="F60" s="54">
        <v>77061047</v>
      </c>
      <c r="G60" s="19" t="s">
        <v>165</v>
      </c>
      <c r="H60" s="22">
        <v>46015</v>
      </c>
      <c r="I60" s="28" t="s">
        <v>177</v>
      </c>
      <c r="J60" s="29">
        <v>54179000</v>
      </c>
      <c r="K60" s="51">
        <v>54179000</v>
      </c>
      <c r="L60" s="26" t="s">
        <v>30</v>
      </c>
      <c r="M60" s="30" t="s">
        <v>178</v>
      </c>
      <c r="N60" s="31" t="s">
        <v>179</v>
      </c>
      <c r="O60" s="32"/>
      <c r="P60" s="32"/>
      <c r="Q60" s="31" t="s">
        <v>33</v>
      </c>
      <c r="R60" s="33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13.8">
      <c r="A61" s="10"/>
      <c r="B61" s="17"/>
      <c r="C61" s="21"/>
      <c r="D61" s="21"/>
      <c r="E61" s="21"/>
      <c r="F61" s="21"/>
      <c r="G61" s="21"/>
      <c r="H61" s="22"/>
      <c r="I61" s="28" t="s">
        <v>41</v>
      </c>
      <c r="J61" s="29"/>
      <c r="K61" s="24"/>
      <c r="L61" s="24"/>
      <c r="M61" s="35"/>
      <c r="N61" s="31"/>
      <c r="O61" s="31"/>
      <c r="P61" s="31"/>
      <c r="Q61" s="24"/>
      <c r="R61" s="37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13.8">
      <c r="A62" s="55">
        <v>9</v>
      </c>
      <c r="B62" s="56" t="s">
        <v>180</v>
      </c>
      <c r="C62" s="18" t="s">
        <v>23</v>
      </c>
      <c r="D62" s="57" t="s">
        <v>181</v>
      </c>
      <c r="E62" s="20" t="s">
        <v>25</v>
      </c>
      <c r="F62" s="19">
        <v>78111155</v>
      </c>
      <c r="G62" s="19" t="s">
        <v>182</v>
      </c>
      <c r="H62" s="22">
        <v>45655</v>
      </c>
      <c r="I62" s="58" t="s">
        <v>41</v>
      </c>
      <c r="J62" s="29"/>
      <c r="K62" s="19"/>
      <c r="L62" s="19"/>
      <c r="M62" s="30"/>
      <c r="N62" s="31"/>
      <c r="O62" s="31"/>
      <c r="P62" s="31"/>
      <c r="Q62" s="31"/>
      <c r="R62" s="33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27.6">
      <c r="A63" s="55"/>
      <c r="B63" s="56"/>
      <c r="C63" s="18" t="s">
        <v>27</v>
      </c>
      <c r="D63" s="59" t="s">
        <v>181</v>
      </c>
      <c r="E63" s="20" t="s">
        <v>25</v>
      </c>
      <c r="F63" s="19">
        <v>78111155</v>
      </c>
      <c r="G63" s="19" t="s">
        <v>183</v>
      </c>
      <c r="H63" s="22">
        <v>46002</v>
      </c>
      <c r="I63" s="58" t="s">
        <v>184</v>
      </c>
      <c r="J63" s="29" t="s">
        <v>185</v>
      </c>
      <c r="K63" s="19" t="s">
        <v>185</v>
      </c>
      <c r="L63" s="26" t="s">
        <v>30</v>
      </c>
      <c r="M63" s="30" t="s">
        <v>186</v>
      </c>
      <c r="N63" s="31" t="s">
        <v>187</v>
      </c>
      <c r="O63" s="32"/>
      <c r="P63" s="32"/>
      <c r="Q63" s="31" t="s">
        <v>33</v>
      </c>
      <c r="R63" s="33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13.8">
      <c r="A64" s="55"/>
      <c r="B64" s="56"/>
      <c r="C64" s="18" t="s">
        <v>34</v>
      </c>
      <c r="D64" s="19" t="s">
        <v>146</v>
      </c>
      <c r="E64" s="20" t="s">
        <v>53</v>
      </c>
      <c r="F64" s="52" t="s">
        <v>54</v>
      </c>
      <c r="G64" s="19" t="s">
        <v>188</v>
      </c>
      <c r="H64" s="22">
        <v>46014</v>
      </c>
      <c r="I64" s="58" t="s">
        <v>189</v>
      </c>
      <c r="J64" s="29" t="s">
        <v>190</v>
      </c>
      <c r="K64" s="19" t="s">
        <v>190</v>
      </c>
      <c r="L64" s="26" t="s">
        <v>30</v>
      </c>
      <c r="M64" s="30" t="s">
        <v>191</v>
      </c>
      <c r="N64" s="31" t="s">
        <v>192</v>
      </c>
      <c r="O64" s="32"/>
      <c r="P64" s="32"/>
      <c r="Q64" s="31" t="s">
        <v>33</v>
      </c>
      <c r="R64" s="33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13.8">
      <c r="A65" s="10"/>
      <c r="B65" s="17"/>
      <c r="C65" s="18" t="s">
        <v>34</v>
      </c>
      <c r="D65" s="19" t="s">
        <v>146</v>
      </c>
      <c r="E65" s="20" t="s">
        <v>53</v>
      </c>
      <c r="F65" s="52" t="s">
        <v>54</v>
      </c>
      <c r="G65" s="19" t="s">
        <v>188</v>
      </c>
      <c r="H65" s="22">
        <v>46014</v>
      </c>
      <c r="I65" s="28" t="s">
        <v>193</v>
      </c>
      <c r="J65" s="29" t="s">
        <v>194</v>
      </c>
      <c r="K65" s="26" t="s">
        <v>194</v>
      </c>
      <c r="L65" s="26" t="s">
        <v>30</v>
      </c>
      <c r="M65" s="30" t="s">
        <v>195</v>
      </c>
      <c r="N65" s="31" t="s">
        <v>196</v>
      </c>
      <c r="O65" s="32"/>
      <c r="P65" s="32"/>
      <c r="Q65" s="31" t="s">
        <v>33</v>
      </c>
      <c r="R65" s="33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13.8">
      <c r="A66" s="10"/>
      <c r="B66" s="17"/>
      <c r="C66" s="21"/>
      <c r="D66" s="21"/>
      <c r="E66" s="21"/>
      <c r="F66" s="21"/>
      <c r="G66" s="21"/>
      <c r="H66" s="22"/>
      <c r="I66" s="28" t="s">
        <v>41</v>
      </c>
      <c r="J66" s="29"/>
      <c r="K66" s="24"/>
      <c r="L66" s="24"/>
      <c r="M66" s="35"/>
      <c r="N66" s="31"/>
      <c r="O66" s="31"/>
      <c r="P66" s="31"/>
      <c r="Q66" s="26"/>
      <c r="R66" s="27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13.8">
      <c r="A67" s="10">
        <v>10</v>
      </c>
      <c r="B67" s="17" t="s">
        <v>197</v>
      </c>
      <c r="C67" s="18" t="s">
        <v>23</v>
      </c>
      <c r="D67" s="19" t="s">
        <v>198</v>
      </c>
      <c r="E67" s="20" t="s">
        <v>25</v>
      </c>
      <c r="F67" s="19">
        <v>79070900</v>
      </c>
      <c r="G67" s="19" t="s">
        <v>199</v>
      </c>
      <c r="H67" s="22">
        <v>45287</v>
      </c>
      <c r="I67" s="28" t="s">
        <v>41</v>
      </c>
      <c r="J67" s="29"/>
      <c r="K67" s="24"/>
      <c r="L67" s="24"/>
      <c r="M67" s="35"/>
      <c r="N67" s="31"/>
      <c r="O67" s="31"/>
      <c r="P67" s="31"/>
      <c r="Q67" s="31"/>
      <c r="R67" s="33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27.6">
      <c r="A68" s="10"/>
      <c r="B68" s="17"/>
      <c r="C68" s="18" t="s">
        <v>27</v>
      </c>
      <c r="D68" s="19" t="s">
        <v>198</v>
      </c>
      <c r="E68" s="20" t="s">
        <v>25</v>
      </c>
      <c r="F68" s="19">
        <v>79070900</v>
      </c>
      <c r="G68" s="19" t="s">
        <v>199</v>
      </c>
      <c r="H68" s="22">
        <v>45287</v>
      </c>
      <c r="I68" s="28" t="s">
        <v>200</v>
      </c>
      <c r="J68" s="29" t="s">
        <v>201</v>
      </c>
      <c r="K68" s="26" t="s">
        <v>202</v>
      </c>
      <c r="L68" s="26" t="s">
        <v>30</v>
      </c>
      <c r="M68" s="30" t="s">
        <v>138</v>
      </c>
      <c r="N68" s="31" t="s">
        <v>203</v>
      </c>
      <c r="O68" s="32"/>
      <c r="P68" s="32"/>
      <c r="Q68" s="31" t="s">
        <v>33</v>
      </c>
      <c r="R68" s="33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27.6">
      <c r="A69" s="10"/>
      <c r="B69" s="17"/>
      <c r="C69" s="18" t="s">
        <v>27</v>
      </c>
      <c r="D69" s="19" t="s">
        <v>198</v>
      </c>
      <c r="E69" s="20" t="s">
        <v>25</v>
      </c>
      <c r="F69" s="19">
        <v>79070900</v>
      </c>
      <c r="G69" s="19" t="s">
        <v>199</v>
      </c>
      <c r="H69" s="22">
        <v>45287</v>
      </c>
      <c r="I69" s="28" t="s">
        <v>204</v>
      </c>
      <c r="J69" s="29" t="s">
        <v>205</v>
      </c>
      <c r="K69" s="26" t="s">
        <v>206</v>
      </c>
      <c r="L69" s="26" t="s">
        <v>30</v>
      </c>
      <c r="M69" s="30" t="s">
        <v>138</v>
      </c>
      <c r="N69" s="31" t="s">
        <v>207</v>
      </c>
      <c r="O69" s="32"/>
      <c r="P69" s="32"/>
      <c r="Q69" s="31" t="s">
        <v>33</v>
      </c>
      <c r="R69" s="33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ht="13.8">
      <c r="A70" s="10"/>
      <c r="B70" s="17"/>
      <c r="C70" s="18" t="s">
        <v>34</v>
      </c>
      <c r="D70" s="19" t="s">
        <v>208</v>
      </c>
      <c r="E70" s="20" t="s">
        <v>124</v>
      </c>
      <c r="F70" s="19">
        <v>87100049</v>
      </c>
      <c r="G70" s="19" t="s">
        <v>209</v>
      </c>
      <c r="H70" s="22">
        <v>46013</v>
      </c>
      <c r="I70" s="28" t="s">
        <v>210</v>
      </c>
      <c r="J70" s="29" t="s">
        <v>211</v>
      </c>
      <c r="K70" s="26" t="s">
        <v>212</v>
      </c>
      <c r="L70" s="26" t="s">
        <v>30</v>
      </c>
      <c r="M70" s="30" t="s">
        <v>213</v>
      </c>
      <c r="N70" s="31" t="s">
        <v>214</v>
      </c>
      <c r="O70" s="32"/>
      <c r="P70" s="32"/>
      <c r="Q70" s="31" t="s">
        <v>33</v>
      </c>
      <c r="R70" s="33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27.6">
      <c r="A71" s="10"/>
      <c r="B71" s="17"/>
      <c r="C71" s="18" t="s">
        <v>34</v>
      </c>
      <c r="D71" s="19" t="s">
        <v>208</v>
      </c>
      <c r="E71" s="20" t="s">
        <v>124</v>
      </c>
      <c r="F71" s="19">
        <v>87100049</v>
      </c>
      <c r="G71" s="19" t="s">
        <v>209</v>
      </c>
      <c r="H71" s="22">
        <v>46013</v>
      </c>
      <c r="I71" s="28" t="s">
        <v>215</v>
      </c>
      <c r="J71" s="29" t="s">
        <v>216</v>
      </c>
      <c r="K71" s="26" t="s">
        <v>216</v>
      </c>
      <c r="L71" s="26" t="s">
        <v>30</v>
      </c>
      <c r="M71" s="30" t="s">
        <v>80</v>
      </c>
      <c r="N71" s="31" t="s">
        <v>217</v>
      </c>
      <c r="O71" s="32"/>
      <c r="P71" s="32"/>
      <c r="Q71" s="31" t="s">
        <v>33</v>
      </c>
      <c r="R71" s="33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ht="13.8">
      <c r="A72" s="10"/>
      <c r="B72" s="17"/>
      <c r="C72" s="18" t="s">
        <v>34</v>
      </c>
      <c r="D72" s="19" t="s">
        <v>208</v>
      </c>
      <c r="E72" s="20" t="s">
        <v>124</v>
      </c>
      <c r="F72" s="19">
        <v>87100049</v>
      </c>
      <c r="G72" s="19" t="s">
        <v>209</v>
      </c>
      <c r="H72" s="22">
        <v>46013</v>
      </c>
      <c r="I72" s="28" t="s">
        <v>218</v>
      </c>
      <c r="J72" s="29" t="s">
        <v>219</v>
      </c>
      <c r="K72" s="26" t="s">
        <v>220</v>
      </c>
      <c r="L72" s="26" t="s">
        <v>30</v>
      </c>
      <c r="M72" s="30" t="s">
        <v>221</v>
      </c>
      <c r="N72" s="31" t="s">
        <v>222</v>
      </c>
      <c r="O72" s="32"/>
      <c r="P72" s="32"/>
      <c r="Q72" s="31" t="s">
        <v>33</v>
      </c>
      <c r="R72" s="33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27.6">
      <c r="A73" s="10"/>
      <c r="B73" s="17"/>
      <c r="C73" s="18" t="s">
        <v>34</v>
      </c>
      <c r="D73" s="19" t="s">
        <v>208</v>
      </c>
      <c r="E73" s="20" t="s">
        <v>124</v>
      </c>
      <c r="F73" s="19">
        <v>87100049</v>
      </c>
      <c r="G73" s="19" t="s">
        <v>209</v>
      </c>
      <c r="H73" s="22">
        <v>46013</v>
      </c>
      <c r="I73" s="28" t="s">
        <v>223</v>
      </c>
      <c r="J73" s="29" t="s">
        <v>224</v>
      </c>
      <c r="K73" s="26" t="s">
        <v>225</v>
      </c>
      <c r="L73" s="26" t="s">
        <v>30</v>
      </c>
      <c r="M73" s="30" t="s">
        <v>221</v>
      </c>
      <c r="N73" s="31" t="s">
        <v>226</v>
      </c>
      <c r="O73" s="32"/>
      <c r="P73" s="32"/>
      <c r="Q73" s="31" t="s">
        <v>33</v>
      </c>
      <c r="R73" s="33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ht="13.8">
      <c r="A74" s="10"/>
      <c r="B74" s="17"/>
      <c r="C74" s="19"/>
      <c r="D74" s="19"/>
      <c r="E74" s="19"/>
      <c r="F74" s="19"/>
      <c r="G74" s="19"/>
      <c r="H74" s="22"/>
      <c r="I74" s="28" t="s">
        <v>41</v>
      </c>
      <c r="J74" s="29"/>
      <c r="K74" s="24"/>
      <c r="L74" s="24"/>
      <c r="M74" s="35"/>
      <c r="N74" s="31"/>
      <c r="O74" s="31"/>
      <c r="P74" s="31"/>
      <c r="Q74" s="26"/>
      <c r="R74" s="27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13.8">
      <c r="A75" s="60">
        <v>11</v>
      </c>
      <c r="B75" s="61" t="s">
        <v>227</v>
      </c>
      <c r="C75" s="18" t="s">
        <v>23</v>
      </c>
      <c r="D75" s="62" t="s">
        <v>228</v>
      </c>
      <c r="E75" s="20" t="s">
        <v>25</v>
      </c>
      <c r="F75" s="62">
        <v>77101038</v>
      </c>
      <c r="G75" s="62" t="s">
        <v>115</v>
      </c>
      <c r="H75" s="22">
        <v>45655</v>
      </c>
      <c r="I75" s="63" t="s">
        <v>41</v>
      </c>
      <c r="J75" s="29"/>
      <c r="K75" s="64"/>
      <c r="L75" s="64"/>
      <c r="M75" s="65"/>
      <c r="N75" s="31"/>
      <c r="O75" s="66"/>
      <c r="P75" s="66"/>
      <c r="Q75" s="67"/>
      <c r="R75" s="27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ht="13.8">
      <c r="A76" s="10"/>
      <c r="B76" s="17"/>
      <c r="C76" s="18" t="s">
        <v>27</v>
      </c>
      <c r="D76" s="19" t="s">
        <v>228</v>
      </c>
      <c r="E76" s="20" t="s">
        <v>25</v>
      </c>
      <c r="F76" s="19">
        <v>77101038</v>
      </c>
      <c r="G76" s="19" t="s">
        <v>229</v>
      </c>
      <c r="H76" s="22">
        <v>46020</v>
      </c>
      <c r="I76" s="28" t="s">
        <v>230</v>
      </c>
      <c r="J76" s="29">
        <v>40180000</v>
      </c>
      <c r="K76" s="51">
        <v>40180000</v>
      </c>
      <c r="L76" s="26" t="s">
        <v>231</v>
      </c>
      <c r="M76" s="30" t="s">
        <v>232</v>
      </c>
      <c r="N76" s="31" t="s">
        <v>233</v>
      </c>
      <c r="O76" s="32"/>
      <c r="P76" s="32"/>
      <c r="Q76" s="26" t="s">
        <v>33</v>
      </c>
      <c r="R76" s="27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13.8">
      <c r="A77" s="10"/>
      <c r="B77" s="17"/>
      <c r="C77" s="18" t="s">
        <v>34</v>
      </c>
      <c r="D77" s="19" t="s">
        <v>234</v>
      </c>
      <c r="E77" s="20" t="s">
        <v>124</v>
      </c>
      <c r="F77" s="19">
        <v>89010362</v>
      </c>
      <c r="G77" s="19" t="s">
        <v>235</v>
      </c>
      <c r="H77" s="22">
        <v>46023</v>
      </c>
      <c r="I77" s="28" t="s">
        <v>236</v>
      </c>
      <c r="J77" s="29">
        <v>112800000</v>
      </c>
      <c r="K77" s="51">
        <v>112800000</v>
      </c>
      <c r="L77" s="26" t="s">
        <v>30</v>
      </c>
      <c r="M77" s="30" t="s">
        <v>237</v>
      </c>
      <c r="N77" s="31" t="s">
        <v>238</v>
      </c>
      <c r="O77" s="32"/>
      <c r="P77" s="32"/>
      <c r="Q77" s="24"/>
      <c r="R77" s="37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ht="13.8">
      <c r="A78" s="10"/>
      <c r="B78" s="17"/>
      <c r="C78" s="21"/>
      <c r="D78" s="21"/>
      <c r="E78" s="21"/>
      <c r="F78" s="21"/>
      <c r="G78" s="21"/>
      <c r="H78" s="22"/>
      <c r="I78" s="28" t="s">
        <v>41</v>
      </c>
      <c r="J78" s="29"/>
      <c r="K78" s="24"/>
      <c r="L78" s="24"/>
      <c r="M78" s="35"/>
      <c r="N78" s="31"/>
      <c r="O78" s="31"/>
      <c r="P78" s="31"/>
      <c r="Q78" s="24"/>
      <c r="R78" s="37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13.8">
      <c r="A79" s="10">
        <v>12</v>
      </c>
      <c r="B79" s="17" t="s">
        <v>239</v>
      </c>
      <c r="C79" s="18" t="s">
        <v>23</v>
      </c>
      <c r="D79" s="19" t="s">
        <v>240</v>
      </c>
      <c r="E79" s="20" t="s">
        <v>25</v>
      </c>
      <c r="F79" s="19">
        <v>74030650</v>
      </c>
      <c r="G79" s="19" t="s">
        <v>241</v>
      </c>
      <c r="H79" s="22">
        <v>46003</v>
      </c>
      <c r="I79" s="28" t="s">
        <v>41</v>
      </c>
      <c r="J79" s="29"/>
      <c r="K79" s="24"/>
      <c r="L79" s="24"/>
      <c r="M79" s="35"/>
      <c r="N79" s="31"/>
      <c r="O79" s="31"/>
      <c r="P79" s="31"/>
      <c r="Q79" s="31"/>
      <c r="R79" s="33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13.8">
      <c r="A80" s="10"/>
      <c r="B80" s="17"/>
      <c r="C80" s="18" t="s">
        <v>27</v>
      </c>
      <c r="D80" s="19" t="s">
        <v>240</v>
      </c>
      <c r="E80" s="20" t="s">
        <v>25</v>
      </c>
      <c r="F80" s="19">
        <v>74030650</v>
      </c>
      <c r="G80" s="19" t="s">
        <v>242</v>
      </c>
      <c r="H80" s="22">
        <v>46021</v>
      </c>
      <c r="I80" s="28" t="s">
        <v>41</v>
      </c>
      <c r="J80" s="29"/>
      <c r="K80" s="24"/>
      <c r="L80" s="24"/>
      <c r="M80" s="35"/>
      <c r="N80" s="31"/>
      <c r="O80" s="31"/>
      <c r="P80" s="31"/>
      <c r="Q80" s="31"/>
      <c r="R80" s="33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13.8">
      <c r="A81" s="10"/>
      <c r="B81" s="17"/>
      <c r="C81" s="18" t="s">
        <v>34</v>
      </c>
      <c r="D81" s="19" t="s">
        <v>243</v>
      </c>
      <c r="E81" s="20" t="s">
        <v>244</v>
      </c>
      <c r="F81" s="19">
        <v>76070300</v>
      </c>
      <c r="G81" s="19" t="s">
        <v>245</v>
      </c>
      <c r="H81" s="22">
        <v>46013</v>
      </c>
      <c r="I81" s="68" t="s">
        <v>246</v>
      </c>
      <c r="J81" s="29">
        <v>154760000</v>
      </c>
      <c r="K81" s="69">
        <v>150096000</v>
      </c>
      <c r="L81" s="26" t="s">
        <v>231</v>
      </c>
      <c r="M81" s="54" t="s">
        <v>247</v>
      </c>
      <c r="N81" s="31" t="s">
        <v>248</v>
      </c>
      <c r="O81" s="32"/>
      <c r="P81" s="32"/>
      <c r="Q81" s="31" t="s">
        <v>33</v>
      </c>
      <c r="R81" s="33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</row>
    <row r="82" spans="1:31" ht="13.8">
      <c r="A82" s="10"/>
      <c r="B82" s="17"/>
      <c r="C82" s="18" t="s">
        <v>34</v>
      </c>
      <c r="D82" s="19" t="s">
        <v>243</v>
      </c>
      <c r="E82" s="20" t="s">
        <v>244</v>
      </c>
      <c r="F82" s="19">
        <v>76070300</v>
      </c>
      <c r="G82" s="19" t="s">
        <v>245</v>
      </c>
      <c r="H82" s="22">
        <v>46013</v>
      </c>
      <c r="I82" s="68" t="s">
        <v>249</v>
      </c>
      <c r="J82" s="29">
        <v>193450000</v>
      </c>
      <c r="K82" s="69">
        <v>187620000</v>
      </c>
      <c r="L82" s="26" t="s">
        <v>231</v>
      </c>
      <c r="M82" s="54" t="s">
        <v>250</v>
      </c>
      <c r="N82" s="31" t="s">
        <v>251</v>
      </c>
      <c r="O82" s="32"/>
      <c r="P82" s="32"/>
      <c r="Q82" s="31" t="s">
        <v>33</v>
      </c>
      <c r="R82" s="33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ht="13.8">
      <c r="A83" s="10"/>
      <c r="B83" s="17"/>
      <c r="C83" s="18" t="s">
        <v>34</v>
      </c>
      <c r="D83" s="19" t="s">
        <v>243</v>
      </c>
      <c r="E83" s="20" t="s">
        <v>244</v>
      </c>
      <c r="F83" s="19">
        <v>76070300</v>
      </c>
      <c r="G83" s="19" t="s">
        <v>245</v>
      </c>
      <c r="H83" s="22">
        <v>46013</v>
      </c>
      <c r="I83" s="68" t="s">
        <v>252</v>
      </c>
      <c r="J83" s="29">
        <v>193450000</v>
      </c>
      <c r="K83" s="69">
        <v>187620000</v>
      </c>
      <c r="L83" s="26" t="s">
        <v>231</v>
      </c>
      <c r="M83" s="54" t="s">
        <v>253</v>
      </c>
      <c r="N83" s="31" t="s">
        <v>254</v>
      </c>
      <c r="O83" s="32"/>
      <c r="P83" s="32"/>
      <c r="Q83" s="31" t="s">
        <v>33</v>
      </c>
      <c r="R83" s="33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13.8">
      <c r="A84" s="10"/>
      <c r="B84" s="17"/>
      <c r="C84" s="18" t="s">
        <v>34</v>
      </c>
      <c r="D84" s="19" t="s">
        <v>243</v>
      </c>
      <c r="E84" s="20" t="s">
        <v>244</v>
      </c>
      <c r="F84" s="19">
        <v>76070300</v>
      </c>
      <c r="G84" s="19" t="s">
        <v>245</v>
      </c>
      <c r="H84" s="22">
        <v>46013</v>
      </c>
      <c r="I84" s="68" t="s">
        <v>255</v>
      </c>
      <c r="J84" s="29">
        <v>193450000</v>
      </c>
      <c r="K84" s="69">
        <v>187620000</v>
      </c>
      <c r="L84" s="26" t="s">
        <v>231</v>
      </c>
      <c r="M84" s="54" t="s">
        <v>256</v>
      </c>
      <c r="N84" s="31" t="s">
        <v>257</v>
      </c>
      <c r="O84" s="32"/>
      <c r="P84" s="32"/>
      <c r="Q84" s="31" t="s">
        <v>33</v>
      </c>
      <c r="R84" s="33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13.8">
      <c r="A85" s="10"/>
      <c r="B85" s="17"/>
      <c r="C85" s="18" t="s">
        <v>34</v>
      </c>
      <c r="D85" s="19" t="s">
        <v>243</v>
      </c>
      <c r="E85" s="20" t="s">
        <v>244</v>
      </c>
      <c r="F85" s="19">
        <v>76070300</v>
      </c>
      <c r="G85" s="19" t="s">
        <v>245</v>
      </c>
      <c r="H85" s="22">
        <v>46013</v>
      </c>
      <c r="I85" s="68" t="s">
        <v>258</v>
      </c>
      <c r="J85" s="29">
        <v>193450000</v>
      </c>
      <c r="K85" s="69">
        <v>187620000</v>
      </c>
      <c r="L85" s="26" t="s">
        <v>231</v>
      </c>
      <c r="M85" s="54" t="s">
        <v>250</v>
      </c>
      <c r="N85" s="31" t="s">
        <v>259</v>
      </c>
      <c r="O85" s="32"/>
      <c r="P85" s="32"/>
      <c r="Q85" s="31" t="s">
        <v>33</v>
      </c>
      <c r="R85" s="33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ht="13.8">
      <c r="A86" s="10"/>
      <c r="B86" s="17"/>
      <c r="C86" s="18" t="s">
        <v>34</v>
      </c>
      <c r="D86" s="19" t="s">
        <v>243</v>
      </c>
      <c r="E86" s="20" t="s">
        <v>244</v>
      </c>
      <c r="F86" s="19">
        <v>76070300</v>
      </c>
      <c r="G86" s="19" t="s">
        <v>245</v>
      </c>
      <c r="H86" s="22">
        <v>46013</v>
      </c>
      <c r="I86" s="68" t="s">
        <v>260</v>
      </c>
      <c r="J86" s="29">
        <v>193450000</v>
      </c>
      <c r="K86" s="69">
        <v>187620000</v>
      </c>
      <c r="L86" s="26" t="s">
        <v>231</v>
      </c>
      <c r="M86" s="54" t="s">
        <v>261</v>
      </c>
      <c r="N86" s="31" t="s">
        <v>262</v>
      </c>
      <c r="O86" s="32"/>
      <c r="P86" s="32"/>
      <c r="Q86" s="31" t="s">
        <v>33</v>
      </c>
      <c r="R86" s="33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13.8">
      <c r="A87" s="10"/>
      <c r="B87" s="17"/>
      <c r="C87" s="18" t="s">
        <v>34</v>
      </c>
      <c r="D87" s="19" t="s">
        <v>243</v>
      </c>
      <c r="E87" s="20" t="s">
        <v>244</v>
      </c>
      <c r="F87" s="19">
        <v>76070300</v>
      </c>
      <c r="G87" s="19" t="s">
        <v>245</v>
      </c>
      <c r="H87" s="22">
        <v>46013</v>
      </c>
      <c r="I87" s="68" t="s">
        <v>263</v>
      </c>
      <c r="J87" s="29">
        <v>193450000</v>
      </c>
      <c r="K87" s="69">
        <v>187620000</v>
      </c>
      <c r="L87" s="26" t="s">
        <v>231</v>
      </c>
      <c r="M87" s="54" t="s">
        <v>264</v>
      </c>
      <c r="N87" s="31" t="s">
        <v>265</v>
      </c>
      <c r="O87" s="32"/>
      <c r="P87" s="32"/>
      <c r="Q87" s="31" t="s">
        <v>33</v>
      </c>
      <c r="R87" s="33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13.8">
      <c r="A88" s="10"/>
      <c r="B88" s="17"/>
      <c r="C88" s="18" t="s">
        <v>34</v>
      </c>
      <c r="D88" s="19" t="s">
        <v>243</v>
      </c>
      <c r="E88" s="20" t="s">
        <v>244</v>
      </c>
      <c r="F88" s="19">
        <v>76070300</v>
      </c>
      <c r="G88" s="19" t="s">
        <v>245</v>
      </c>
      <c r="H88" s="22">
        <v>46013</v>
      </c>
      <c r="I88" s="68" t="s">
        <v>266</v>
      </c>
      <c r="J88" s="29">
        <v>193450000</v>
      </c>
      <c r="K88" s="69">
        <v>187266000</v>
      </c>
      <c r="L88" s="26" t="s">
        <v>231</v>
      </c>
      <c r="M88" s="54" t="s">
        <v>267</v>
      </c>
      <c r="N88" s="31" t="s">
        <v>268</v>
      </c>
      <c r="O88" s="32"/>
      <c r="P88" s="32"/>
      <c r="Q88" s="31" t="s">
        <v>33</v>
      </c>
      <c r="R88" s="33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13.8">
      <c r="A89" s="10"/>
      <c r="B89" s="17"/>
      <c r="C89" s="18" t="s">
        <v>34</v>
      </c>
      <c r="D89" s="19" t="s">
        <v>243</v>
      </c>
      <c r="E89" s="20" t="s">
        <v>244</v>
      </c>
      <c r="F89" s="19">
        <v>76070300</v>
      </c>
      <c r="G89" s="19" t="s">
        <v>245</v>
      </c>
      <c r="H89" s="22">
        <v>46013</v>
      </c>
      <c r="I89" s="68" t="s">
        <v>269</v>
      </c>
      <c r="J89" s="29">
        <v>193450000</v>
      </c>
      <c r="K89" s="69">
        <v>187620000</v>
      </c>
      <c r="L89" s="26" t="s">
        <v>231</v>
      </c>
      <c r="M89" s="54" t="s">
        <v>270</v>
      </c>
      <c r="N89" s="31" t="s">
        <v>271</v>
      </c>
      <c r="O89" s="32"/>
      <c r="P89" s="32"/>
      <c r="Q89" s="31" t="s">
        <v>33</v>
      </c>
      <c r="R89" s="33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13.8">
      <c r="A90" s="10"/>
      <c r="B90" s="17"/>
      <c r="C90" s="18" t="s">
        <v>34</v>
      </c>
      <c r="D90" s="19" t="s">
        <v>243</v>
      </c>
      <c r="E90" s="20" t="s">
        <v>244</v>
      </c>
      <c r="F90" s="19">
        <v>76070300</v>
      </c>
      <c r="G90" s="19" t="s">
        <v>245</v>
      </c>
      <c r="H90" s="22">
        <v>46013</v>
      </c>
      <c r="I90" s="68" t="s">
        <v>272</v>
      </c>
      <c r="J90" s="29">
        <v>193450000</v>
      </c>
      <c r="K90" s="69">
        <v>187620000</v>
      </c>
      <c r="L90" s="26" t="s">
        <v>231</v>
      </c>
      <c r="M90" s="54" t="s">
        <v>273</v>
      </c>
      <c r="N90" s="31" t="s">
        <v>274</v>
      </c>
      <c r="O90" s="32"/>
      <c r="P90" s="32"/>
      <c r="Q90" s="31" t="s">
        <v>33</v>
      </c>
      <c r="R90" s="33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13.8">
      <c r="A91" s="10"/>
      <c r="B91" s="17"/>
      <c r="C91" s="18" t="s">
        <v>34</v>
      </c>
      <c r="D91" s="19" t="s">
        <v>243</v>
      </c>
      <c r="E91" s="20" t="s">
        <v>244</v>
      </c>
      <c r="F91" s="19">
        <v>76070300</v>
      </c>
      <c r="G91" s="19" t="s">
        <v>245</v>
      </c>
      <c r="H91" s="22">
        <v>46013</v>
      </c>
      <c r="I91" s="68" t="s">
        <v>275</v>
      </c>
      <c r="J91" s="29">
        <v>77380000</v>
      </c>
      <c r="K91" s="69">
        <v>75048000</v>
      </c>
      <c r="L91" s="26" t="s">
        <v>231</v>
      </c>
      <c r="M91" s="54" t="s">
        <v>276</v>
      </c>
      <c r="N91" s="31" t="s">
        <v>277</v>
      </c>
      <c r="O91" s="32"/>
      <c r="P91" s="32"/>
      <c r="Q91" s="31" t="s">
        <v>33</v>
      </c>
      <c r="R91" s="33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ht="13.8">
      <c r="A92" s="10"/>
      <c r="B92" s="17"/>
      <c r="C92" s="18" t="s">
        <v>34</v>
      </c>
      <c r="D92" s="19" t="s">
        <v>243</v>
      </c>
      <c r="E92" s="20" t="s">
        <v>244</v>
      </c>
      <c r="F92" s="19">
        <v>76070300</v>
      </c>
      <c r="G92" s="19" t="s">
        <v>245</v>
      </c>
      <c r="H92" s="22">
        <v>46013</v>
      </c>
      <c r="I92" s="68" t="s">
        <v>278</v>
      </c>
      <c r="J92" s="29">
        <v>77380000</v>
      </c>
      <c r="K92" s="69">
        <v>75048000</v>
      </c>
      <c r="L92" s="26" t="s">
        <v>231</v>
      </c>
      <c r="M92" s="54" t="s">
        <v>279</v>
      </c>
      <c r="N92" s="31" t="s">
        <v>280</v>
      </c>
      <c r="O92" s="32"/>
      <c r="P92" s="32"/>
      <c r="Q92" s="31" t="s">
        <v>33</v>
      </c>
      <c r="R92" s="33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13.8">
      <c r="A93" s="10"/>
      <c r="B93" s="17"/>
      <c r="C93" s="18" t="s">
        <v>34</v>
      </c>
      <c r="D93" s="19" t="s">
        <v>243</v>
      </c>
      <c r="E93" s="20" t="s">
        <v>244</v>
      </c>
      <c r="F93" s="19">
        <v>76070300</v>
      </c>
      <c r="G93" s="19" t="s">
        <v>245</v>
      </c>
      <c r="H93" s="22">
        <v>46013</v>
      </c>
      <c r="I93" s="68" t="s">
        <v>281</v>
      </c>
      <c r="J93" s="29">
        <v>77380000</v>
      </c>
      <c r="K93" s="69">
        <v>75048000</v>
      </c>
      <c r="L93" s="26" t="s">
        <v>231</v>
      </c>
      <c r="M93" s="54" t="s">
        <v>247</v>
      </c>
      <c r="N93" s="31" t="s">
        <v>282</v>
      </c>
      <c r="O93" s="32"/>
      <c r="P93" s="32"/>
      <c r="Q93" s="31" t="s">
        <v>33</v>
      </c>
      <c r="R93" s="33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13.8">
      <c r="A94" s="10"/>
      <c r="B94" s="17"/>
      <c r="C94" s="18" t="s">
        <v>34</v>
      </c>
      <c r="D94" s="19" t="s">
        <v>243</v>
      </c>
      <c r="E94" s="20" t="s">
        <v>244</v>
      </c>
      <c r="F94" s="19">
        <v>76070300</v>
      </c>
      <c r="G94" s="19" t="s">
        <v>245</v>
      </c>
      <c r="H94" s="22">
        <v>46013</v>
      </c>
      <c r="I94" s="68" t="s">
        <v>283</v>
      </c>
      <c r="J94" s="29">
        <v>76829000</v>
      </c>
      <c r="K94" s="69">
        <v>76829000</v>
      </c>
      <c r="L94" s="26" t="s">
        <v>231</v>
      </c>
      <c r="M94" s="54" t="s">
        <v>284</v>
      </c>
      <c r="N94" s="31" t="s">
        <v>285</v>
      </c>
      <c r="O94" s="32"/>
      <c r="P94" s="32"/>
      <c r="Q94" s="31" t="s">
        <v>33</v>
      </c>
      <c r="R94" s="33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ht="13.8">
      <c r="A95" s="10"/>
      <c r="B95" s="17"/>
      <c r="C95" s="18" t="s">
        <v>34</v>
      </c>
      <c r="D95" s="19" t="s">
        <v>243</v>
      </c>
      <c r="E95" s="20" t="s">
        <v>244</v>
      </c>
      <c r="F95" s="19">
        <v>76070300</v>
      </c>
      <c r="G95" s="19" t="s">
        <v>245</v>
      </c>
      <c r="H95" s="22">
        <v>46013</v>
      </c>
      <c r="I95" s="68" t="s">
        <v>286</v>
      </c>
      <c r="J95" s="29">
        <v>12497000</v>
      </c>
      <c r="K95" s="69">
        <v>12497000</v>
      </c>
      <c r="L95" s="26" t="s">
        <v>231</v>
      </c>
      <c r="M95" s="54" t="s">
        <v>287</v>
      </c>
      <c r="N95" s="31" t="s">
        <v>288</v>
      </c>
      <c r="O95" s="32"/>
      <c r="P95" s="32"/>
      <c r="Q95" s="31" t="s">
        <v>33</v>
      </c>
      <c r="R95" s="33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13.8">
      <c r="A96" s="10"/>
      <c r="B96" s="17"/>
      <c r="C96" s="18" t="s">
        <v>34</v>
      </c>
      <c r="D96" s="19" t="s">
        <v>243</v>
      </c>
      <c r="E96" s="20" t="s">
        <v>244</v>
      </c>
      <c r="F96" s="19">
        <v>76070300</v>
      </c>
      <c r="G96" s="19" t="s">
        <v>245</v>
      </c>
      <c r="H96" s="22">
        <v>46013</v>
      </c>
      <c r="I96" s="28" t="s">
        <v>289</v>
      </c>
      <c r="J96" s="29">
        <v>72577000</v>
      </c>
      <c r="K96" s="51">
        <v>72577000</v>
      </c>
      <c r="L96" s="26" t="s">
        <v>231</v>
      </c>
      <c r="M96" s="54" t="s">
        <v>287</v>
      </c>
      <c r="N96" s="31" t="s">
        <v>290</v>
      </c>
      <c r="O96" s="32"/>
      <c r="P96" s="32"/>
      <c r="Q96" s="31" t="s">
        <v>33</v>
      </c>
      <c r="R96" s="33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ht="13.8">
      <c r="A97" s="10"/>
      <c r="B97" s="17"/>
      <c r="C97" s="18" t="s">
        <v>34</v>
      </c>
      <c r="D97" s="19" t="s">
        <v>243</v>
      </c>
      <c r="E97" s="20" t="s">
        <v>244</v>
      </c>
      <c r="F97" s="19">
        <v>76070300</v>
      </c>
      <c r="G97" s="19" t="s">
        <v>245</v>
      </c>
      <c r="H97" s="22">
        <v>46013</v>
      </c>
      <c r="I97" s="28" t="s">
        <v>291</v>
      </c>
      <c r="J97" s="29">
        <v>67470000</v>
      </c>
      <c r="K97" s="51">
        <v>67470000</v>
      </c>
      <c r="L97" s="26" t="s">
        <v>231</v>
      </c>
      <c r="M97" s="30" t="s">
        <v>292</v>
      </c>
      <c r="N97" s="31" t="s">
        <v>293</v>
      </c>
      <c r="O97" s="32"/>
      <c r="P97" s="32"/>
      <c r="Q97" s="31" t="s">
        <v>33</v>
      </c>
      <c r="R97" s="33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ht="13.8">
      <c r="A98" s="10"/>
      <c r="B98" s="17"/>
      <c r="C98" s="18" t="s">
        <v>34</v>
      </c>
      <c r="D98" s="19" t="s">
        <v>243</v>
      </c>
      <c r="E98" s="20" t="s">
        <v>244</v>
      </c>
      <c r="F98" s="19">
        <v>76070300</v>
      </c>
      <c r="G98" s="19" t="s">
        <v>245</v>
      </c>
      <c r="H98" s="22">
        <v>46013</v>
      </c>
      <c r="I98" s="28" t="s">
        <v>294</v>
      </c>
      <c r="J98" s="29">
        <v>55123000</v>
      </c>
      <c r="K98" s="51">
        <v>55123000</v>
      </c>
      <c r="L98" s="26" t="s">
        <v>231</v>
      </c>
      <c r="M98" s="30" t="s">
        <v>295</v>
      </c>
      <c r="N98" s="31" t="s">
        <v>296</v>
      </c>
      <c r="O98" s="32"/>
      <c r="P98" s="32"/>
      <c r="Q98" s="31" t="s">
        <v>33</v>
      </c>
      <c r="R98" s="33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ht="13.8">
      <c r="A99" s="10"/>
      <c r="B99" s="17"/>
      <c r="C99" s="18" t="s">
        <v>34</v>
      </c>
      <c r="D99" s="19" t="s">
        <v>243</v>
      </c>
      <c r="E99" s="20" t="s">
        <v>244</v>
      </c>
      <c r="F99" s="19">
        <v>76070300</v>
      </c>
      <c r="G99" s="19" t="s">
        <v>245</v>
      </c>
      <c r="H99" s="22">
        <v>46013</v>
      </c>
      <c r="I99" s="28" t="s">
        <v>297</v>
      </c>
      <c r="J99" s="29">
        <v>152481000</v>
      </c>
      <c r="K99" s="51">
        <v>152481000</v>
      </c>
      <c r="L99" s="26" t="s">
        <v>231</v>
      </c>
      <c r="M99" s="30" t="s">
        <v>108</v>
      </c>
      <c r="N99" s="31" t="s">
        <v>298</v>
      </c>
      <c r="O99" s="32"/>
      <c r="P99" s="32"/>
      <c r="Q99" s="31" t="s">
        <v>33</v>
      </c>
      <c r="R99" s="33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ht="13.8">
      <c r="A100" s="10"/>
      <c r="B100" s="17"/>
      <c r="C100" s="18" t="s">
        <v>299</v>
      </c>
      <c r="D100" s="19" t="s">
        <v>243</v>
      </c>
      <c r="E100" s="20" t="s">
        <v>244</v>
      </c>
      <c r="F100" s="19">
        <v>76070300</v>
      </c>
      <c r="G100" s="19" t="s">
        <v>300</v>
      </c>
      <c r="H100" s="22">
        <v>46091</v>
      </c>
      <c r="I100" s="28" t="s">
        <v>301</v>
      </c>
      <c r="J100" s="29">
        <v>318346000</v>
      </c>
      <c r="K100" s="51">
        <v>318346000</v>
      </c>
      <c r="L100" s="26" t="s">
        <v>302</v>
      </c>
      <c r="M100" s="30" t="s">
        <v>108</v>
      </c>
      <c r="N100" s="31" t="s">
        <v>303</v>
      </c>
      <c r="O100" s="32"/>
      <c r="P100" s="32"/>
      <c r="Q100" s="31" t="s">
        <v>33</v>
      </c>
      <c r="R100" s="33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 ht="13.8">
      <c r="A101" s="10"/>
      <c r="B101" s="17"/>
      <c r="C101" s="18" t="s">
        <v>299</v>
      </c>
      <c r="D101" s="19" t="s">
        <v>208</v>
      </c>
      <c r="E101" s="20" t="s">
        <v>124</v>
      </c>
      <c r="F101" s="19">
        <v>87100049</v>
      </c>
      <c r="G101" s="19" t="s">
        <v>300</v>
      </c>
      <c r="H101" s="22">
        <v>46091</v>
      </c>
      <c r="I101" s="28" t="s">
        <v>301</v>
      </c>
      <c r="J101" s="29">
        <v>318346000</v>
      </c>
      <c r="K101" s="51">
        <v>318346000</v>
      </c>
      <c r="L101" s="26" t="s">
        <v>302</v>
      </c>
      <c r="M101" s="30" t="s">
        <v>108</v>
      </c>
      <c r="N101" s="31" t="s">
        <v>303</v>
      </c>
      <c r="O101" s="32"/>
      <c r="P101" s="32"/>
      <c r="Q101" s="31" t="s">
        <v>33</v>
      </c>
      <c r="R101" s="33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 ht="13.8">
      <c r="A102" s="10"/>
      <c r="B102" s="17"/>
      <c r="C102" s="18" t="s">
        <v>299</v>
      </c>
      <c r="D102" s="19" t="s">
        <v>304</v>
      </c>
      <c r="E102" s="20" t="s">
        <v>53</v>
      </c>
      <c r="F102" s="52" t="s">
        <v>305</v>
      </c>
      <c r="G102" s="19" t="s">
        <v>300</v>
      </c>
      <c r="H102" s="22">
        <v>46091</v>
      </c>
      <c r="I102" s="28" t="s">
        <v>301</v>
      </c>
      <c r="J102" s="29">
        <v>318346000</v>
      </c>
      <c r="K102" s="51">
        <v>318346000</v>
      </c>
      <c r="L102" s="26" t="s">
        <v>302</v>
      </c>
      <c r="M102" s="30" t="s">
        <v>108</v>
      </c>
      <c r="N102" s="31" t="s">
        <v>303</v>
      </c>
      <c r="O102" s="32"/>
      <c r="P102" s="32"/>
      <c r="Q102" s="31" t="s">
        <v>33</v>
      </c>
      <c r="R102" s="33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 ht="13.8">
      <c r="A103" s="10"/>
      <c r="B103" s="17"/>
      <c r="C103" s="18" t="s">
        <v>299</v>
      </c>
      <c r="D103" s="19" t="s">
        <v>243</v>
      </c>
      <c r="E103" s="20" t="s">
        <v>244</v>
      </c>
      <c r="F103" s="19">
        <v>76070300</v>
      </c>
      <c r="G103" s="19" t="s">
        <v>306</v>
      </c>
      <c r="H103" s="22">
        <v>46091</v>
      </c>
      <c r="I103" s="28" t="s">
        <v>307</v>
      </c>
      <c r="J103" s="29">
        <v>261320000</v>
      </c>
      <c r="K103" s="51">
        <v>261320000</v>
      </c>
      <c r="L103" s="26" t="s">
        <v>302</v>
      </c>
      <c r="M103" s="30" t="s">
        <v>108</v>
      </c>
      <c r="N103" s="31" t="s">
        <v>308</v>
      </c>
      <c r="O103" s="32"/>
      <c r="P103" s="32"/>
      <c r="Q103" s="31" t="s">
        <v>33</v>
      </c>
      <c r="R103" s="33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ht="13.8">
      <c r="A104" s="10"/>
      <c r="B104" s="17"/>
      <c r="C104" s="18" t="s">
        <v>299</v>
      </c>
      <c r="D104" s="19" t="s">
        <v>208</v>
      </c>
      <c r="E104" s="20" t="s">
        <v>124</v>
      </c>
      <c r="F104" s="19">
        <v>87100049</v>
      </c>
      <c r="G104" s="19" t="s">
        <v>306</v>
      </c>
      <c r="H104" s="22">
        <v>46091</v>
      </c>
      <c r="I104" s="28" t="s">
        <v>307</v>
      </c>
      <c r="J104" s="29">
        <v>261320000</v>
      </c>
      <c r="K104" s="51">
        <v>261320000</v>
      </c>
      <c r="L104" s="26" t="s">
        <v>302</v>
      </c>
      <c r="M104" s="30" t="s">
        <v>108</v>
      </c>
      <c r="N104" s="31" t="s">
        <v>308</v>
      </c>
      <c r="O104" s="32"/>
      <c r="P104" s="32"/>
      <c r="Q104" s="31" t="s">
        <v>33</v>
      </c>
      <c r="R104" s="33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 ht="13.8">
      <c r="A105" s="10"/>
      <c r="B105" s="17"/>
      <c r="C105" s="18" t="s">
        <v>299</v>
      </c>
      <c r="D105" s="19" t="s">
        <v>304</v>
      </c>
      <c r="E105" s="20" t="s">
        <v>53</v>
      </c>
      <c r="F105" s="52" t="s">
        <v>305</v>
      </c>
      <c r="G105" s="19" t="s">
        <v>306</v>
      </c>
      <c r="H105" s="22">
        <v>46091</v>
      </c>
      <c r="I105" s="28" t="s">
        <v>307</v>
      </c>
      <c r="J105" s="29">
        <v>261320000</v>
      </c>
      <c r="K105" s="51">
        <v>261320000</v>
      </c>
      <c r="L105" s="26" t="s">
        <v>302</v>
      </c>
      <c r="M105" s="30" t="s">
        <v>108</v>
      </c>
      <c r="N105" s="31" t="s">
        <v>308</v>
      </c>
      <c r="O105" s="32"/>
      <c r="P105" s="32"/>
      <c r="Q105" s="31" t="s">
        <v>33</v>
      </c>
      <c r="R105" s="33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 ht="13.8">
      <c r="A106" s="10"/>
      <c r="B106" s="17"/>
      <c r="C106" s="18" t="s">
        <v>299</v>
      </c>
      <c r="D106" s="19" t="s">
        <v>243</v>
      </c>
      <c r="E106" s="20" t="s">
        <v>244</v>
      </c>
      <c r="F106" s="19">
        <v>76070300</v>
      </c>
      <c r="G106" s="19" t="s">
        <v>309</v>
      </c>
      <c r="H106" s="22">
        <v>46091</v>
      </c>
      <c r="I106" s="28" t="s">
        <v>310</v>
      </c>
      <c r="J106" s="29">
        <v>240600000</v>
      </c>
      <c r="K106" s="51">
        <v>240600000</v>
      </c>
      <c r="L106" s="26" t="s">
        <v>302</v>
      </c>
      <c r="M106" s="30" t="s">
        <v>311</v>
      </c>
      <c r="N106" s="31" t="s">
        <v>312</v>
      </c>
      <c r="O106" s="32"/>
      <c r="P106" s="32"/>
      <c r="Q106" s="31" t="s">
        <v>33</v>
      </c>
      <c r="R106" s="33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 ht="13.8">
      <c r="A107" s="10"/>
      <c r="B107" s="17"/>
      <c r="C107" s="18" t="s">
        <v>299</v>
      </c>
      <c r="D107" s="19" t="s">
        <v>208</v>
      </c>
      <c r="E107" s="20" t="s">
        <v>124</v>
      </c>
      <c r="F107" s="19">
        <v>87100049</v>
      </c>
      <c r="G107" s="19" t="s">
        <v>309</v>
      </c>
      <c r="H107" s="22">
        <v>46091</v>
      </c>
      <c r="I107" s="28" t="s">
        <v>310</v>
      </c>
      <c r="J107" s="29">
        <v>240600000</v>
      </c>
      <c r="K107" s="51">
        <v>240600000</v>
      </c>
      <c r="L107" s="26" t="s">
        <v>302</v>
      </c>
      <c r="M107" s="30" t="s">
        <v>311</v>
      </c>
      <c r="N107" s="31" t="s">
        <v>312</v>
      </c>
      <c r="O107" s="32"/>
      <c r="P107" s="32"/>
      <c r="Q107" s="31" t="s">
        <v>33</v>
      </c>
      <c r="R107" s="33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 ht="13.8">
      <c r="A108" s="10"/>
      <c r="B108" s="17"/>
      <c r="C108" s="18" t="s">
        <v>299</v>
      </c>
      <c r="D108" s="19" t="s">
        <v>304</v>
      </c>
      <c r="E108" s="20" t="s">
        <v>53</v>
      </c>
      <c r="F108" s="52" t="s">
        <v>305</v>
      </c>
      <c r="G108" s="19" t="s">
        <v>309</v>
      </c>
      <c r="H108" s="22">
        <v>46091</v>
      </c>
      <c r="I108" s="28" t="s">
        <v>310</v>
      </c>
      <c r="J108" s="29">
        <v>240600000</v>
      </c>
      <c r="K108" s="51">
        <v>240600000</v>
      </c>
      <c r="L108" s="26" t="s">
        <v>302</v>
      </c>
      <c r="M108" s="30" t="s">
        <v>311</v>
      </c>
      <c r="N108" s="31" t="s">
        <v>312</v>
      </c>
      <c r="O108" s="32"/>
      <c r="P108" s="32"/>
      <c r="Q108" s="31" t="s">
        <v>33</v>
      </c>
      <c r="R108" s="33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ht="13.8">
      <c r="A109" s="10"/>
      <c r="B109" s="17"/>
      <c r="C109" s="18" t="s">
        <v>299</v>
      </c>
      <c r="D109" s="19" t="s">
        <v>243</v>
      </c>
      <c r="E109" s="20" t="s">
        <v>244</v>
      </c>
      <c r="F109" s="19">
        <v>76070300</v>
      </c>
      <c r="G109" s="19" t="s">
        <v>313</v>
      </c>
      <c r="H109" s="22">
        <v>46091</v>
      </c>
      <c r="I109" s="28" t="s">
        <v>314</v>
      </c>
      <c r="J109" s="29">
        <v>278366000</v>
      </c>
      <c r="K109" s="51">
        <v>278366000</v>
      </c>
      <c r="L109" s="26" t="s">
        <v>302</v>
      </c>
      <c r="M109" s="30" t="s">
        <v>315</v>
      </c>
      <c r="N109" s="31" t="s">
        <v>316</v>
      </c>
      <c r="O109" s="32"/>
      <c r="P109" s="32"/>
      <c r="Q109" s="31" t="s">
        <v>33</v>
      </c>
      <c r="R109" s="33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 ht="13.8">
      <c r="A110" s="10"/>
      <c r="B110" s="17"/>
      <c r="C110" s="18" t="s">
        <v>299</v>
      </c>
      <c r="D110" s="19" t="s">
        <v>208</v>
      </c>
      <c r="E110" s="20" t="s">
        <v>124</v>
      </c>
      <c r="F110" s="19">
        <v>87100049</v>
      </c>
      <c r="G110" s="19" t="s">
        <v>313</v>
      </c>
      <c r="H110" s="22">
        <v>46091</v>
      </c>
      <c r="I110" s="28" t="s">
        <v>314</v>
      </c>
      <c r="J110" s="29">
        <v>278366000</v>
      </c>
      <c r="K110" s="51">
        <v>278366000</v>
      </c>
      <c r="L110" s="26" t="s">
        <v>302</v>
      </c>
      <c r="M110" s="30" t="s">
        <v>315</v>
      </c>
      <c r="N110" s="31" t="s">
        <v>316</v>
      </c>
      <c r="O110" s="32"/>
      <c r="P110" s="32"/>
      <c r="Q110" s="31" t="s">
        <v>33</v>
      </c>
      <c r="R110" s="33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 ht="13.8">
      <c r="A111" s="10"/>
      <c r="B111" s="17"/>
      <c r="C111" s="18" t="s">
        <v>299</v>
      </c>
      <c r="D111" s="19" t="s">
        <v>304</v>
      </c>
      <c r="E111" s="20" t="s">
        <v>53</v>
      </c>
      <c r="F111" s="52" t="s">
        <v>305</v>
      </c>
      <c r="G111" s="19" t="s">
        <v>313</v>
      </c>
      <c r="H111" s="22">
        <v>46091</v>
      </c>
      <c r="I111" s="28" t="s">
        <v>314</v>
      </c>
      <c r="J111" s="29">
        <v>278366000</v>
      </c>
      <c r="K111" s="51">
        <v>278366000</v>
      </c>
      <c r="L111" s="26" t="s">
        <v>302</v>
      </c>
      <c r="M111" s="30" t="s">
        <v>315</v>
      </c>
      <c r="N111" s="31" t="s">
        <v>316</v>
      </c>
      <c r="O111" s="32"/>
      <c r="P111" s="32"/>
      <c r="Q111" s="31" t="s">
        <v>33</v>
      </c>
      <c r="R111" s="33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 ht="13.8">
      <c r="A112" s="10"/>
      <c r="B112" s="17"/>
      <c r="C112" s="19"/>
      <c r="D112" s="19"/>
      <c r="E112" s="19"/>
      <c r="F112" s="19"/>
      <c r="G112" s="19"/>
      <c r="H112" s="22"/>
      <c r="I112" s="28" t="s">
        <v>41</v>
      </c>
      <c r="J112" s="29"/>
      <c r="K112" s="24"/>
      <c r="L112" s="24"/>
      <c r="M112" s="35"/>
      <c r="N112" s="31"/>
      <c r="O112" s="31"/>
      <c r="P112" s="31"/>
      <c r="Q112" s="26"/>
      <c r="R112" s="27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 ht="13.8">
      <c r="A113" s="10">
        <v>13</v>
      </c>
      <c r="B113" s="17" t="s">
        <v>317</v>
      </c>
      <c r="C113" s="18" t="s">
        <v>23</v>
      </c>
      <c r="D113" s="19" t="s">
        <v>318</v>
      </c>
      <c r="E113" s="20" t="s">
        <v>25</v>
      </c>
      <c r="F113" s="19">
        <v>79030853</v>
      </c>
      <c r="G113" s="19" t="s">
        <v>319</v>
      </c>
      <c r="H113" s="22">
        <v>45288</v>
      </c>
      <c r="I113" s="28" t="s">
        <v>41</v>
      </c>
      <c r="J113" s="29"/>
      <c r="K113" s="24"/>
      <c r="L113" s="24"/>
      <c r="M113" s="35"/>
      <c r="N113" s="31"/>
      <c r="O113" s="31"/>
      <c r="P113" s="31"/>
      <c r="Q113" s="31"/>
      <c r="R113" s="33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 ht="13.8">
      <c r="A114" s="10"/>
      <c r="B114" s="17"/>
      <c r="C114" s="18" t="s">
        <v>27</v>
      </c>
      <c r="D114" s="19" t="s">
        <v>318</v>
      </c>
      <c r="E114" s="20" t="s">
        <v>25</v>
      </c>
      <c r="F114" s="19">
        <v>79030853</v>
      </c>
      <c r="G114" s="19" t="s">
        <v>320</v>
      </c>
      <c r="H114" s="22" t="s">
        <v>321</v>
      </c>
      <c r="I114" s="28" t="s">
        <v>322</v>
      </c>
      <c r="J114" s="29">
        <v>383688000</v>
      </c>
      <c r="K114" s="51">
        <v>383688000</v>
      </c>
      <c r="L114" s="26" t="s">
        <v>30</v>
      </c>
      <c r="M114" s="30" t="s">
        <v>323</v>
      </c>
      <c r="N114" s="31" t="s">
        <v>324</v>
      </c>
      <c r="O114" s="32"/>
      <c r="P114" s="32"/>
      <c r="Q114" s="31" t="s">
        <v>33</v>
      </c>
      <c r="R114" s="33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 ht="13.8">
      <c r="A115" s="10"/>
      <c r="B115" s="17"/>
      <c r="C115" s="18" t="s">
        <v>27</v>
      </c>
      <c r="D115" s="19" t="s">
        <v>318</v>
      </c>
      <c r="E115" s="20" t="s">
        <v>25</v>
      </c>
      <c r="F115" s="19">
        <v>79030853</v>
      </c>
      <c r="G115" s="19" t="s">
        <v>320</v>
      </c>
      <c r="H115" s="22" t="s">
        <v>321</v>
      </c>
      <c r="I115" s="28" t="s">
        <v>325</v>
      </c>
      <c r="J115" s="29">
        <v>877600000</v>
      </c>
      <c r="K115" s="51">
        <v>877600000</v>
      </c>
      <c r="L115" s="26" t="s">
        <v>30</v>
      </c>
      <c r="M115" s="30" t="s">
        <v>326</v>
      </c>
      <c r="N115" s="31" t="s">
        <v>327</v>
      </c>
      <c r="O115" s="32"/>
      <c r="P115" s="32"/>
      <c r="Q115" s="31" t="s">
        <v>33</v>
      </c>
      <c r="R115" s="33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ht="13.8">
      <c r="A116" s="10"/>
      <c r="B116" s="17"/>
      <c r="C116" s="18" t="s">
        <v>27</v>
      </c>
      <c r="D116" s="19" t="s">
        <v>318</v>
      </c>
      <c r="E116" s="20" t="s">
        <v>25</v>
      </c>
      <c r="F116" s="19">
        <v>79030853</v>
      </c>
      <c r="G116" s="19" t="s">
        <v>320</v>
      </c>
      <c r="H116" s="22" t="s">
        <v>321</v>
      </c>
      <c r="I116" s="28" t="s">
        <v>328</v>
      </c>
      <c r="J116" s="29">
        <v>378000000</v>
      </c>
      <c r="K116" s="51">
        <v>378000000</v>
      </c>
      <c r="L116" s="26" t="s">
        <v>30</v>
      </c>
      <c r="M116" s="30" t="s">
        <v>329</v>
      </c>
      <c r="N116" s="31" t="s">
        <v>330</v>
      </c>
      <c r="O116" s="32"/>
      <c r="P116" s="32"/>
      <c r="Q116" s="31" t="s">
        <v>33</v>
      </c>
      <c r="R116" s="33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ht="13.8">
      <c r="A117" s="10"/>
      <c r="B117" s="17"/>
      <c r="C117" s="18" t="s">
        <v>27</v>
      </c>
      <c r="D117" s="19" t="s">
        <v>318</v>
      </c>
      <c r="E117" s="20" t="s">
        <v>25</v>
      </c>
      <c r="F117" s="19">
        <v>79030853</v>
      </c>
      <c r="G117" s="19" t="s">
        <v>320</v>
      </c>
      <c r="H117" s="22" t="s">
        <v>321</v>
      </c>
      <c r="I117" s="28" t="s">
        <v>331</v>
      </c>
      <c r="J117" s="29">
        <v>320105000</v>
      </c>
      <c r="K117" s="51">
        <v>320105000</v>
      </c>
      <c r="L117" s="26" t="s">
        <v>30</v>
      </c>
      <c r="M117" s="30" t="s">
        <v>332</v>
      </c>
      <c r="N117" s="31" t="s">
        <v>333</v>
      </c>
      <c r="O117" s="32"/>
      <c r="P117" s="32"/>
      <c r="Q117" s="31" t="s">
        <v>33</v>
      </c>
      <c r="R117" s="33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 ht="27.6">
      <c r="A118" s="10"/>
      <c r="B118" s="17"/>
      <c r="C118" s="18" t="s">
        <v>34</v>
      </c>
      <c r="D118" s="19" t="s">
        <v>334</v>
      </c>
      <c r="E118" s="20" t="s">
        <v>53</v>
      </c>
      <c r="F118" s="19" t="s">
        <v>54</v>
      </c>
      <c r="G118" s="19" t="s">
        <v>335</v>
      </c>
      <c r="H118" s="22">
        <v>46009</v>
      </c>
      <c r="I118" s="71" t="s">
        <v>336</v>
      </c>
      <c r="J118" s="29">
        <v>121910000</v>
      </c>
      <c r="K118" s="51">
        <v>121910000</v>
      </c>
      <c r="L118" s="26" t="s">
        <v>30</v>
      </c>
      <c r="M118" s="30" t="s">
        <v>332</v>
      </c>
      <c r="N118" s="31" t="s">
        <v>337</v>
      </c>
      <c r="O118" s="32"/>
      <c r="P118" s="32"/>
      <c r="Q118" s="31" t="s">
        <v>33</v>
      </c>
      <c r="R118" s="33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ht="13.8">
      <c r="A119" s="10"/>
      <c r="B119" s="17"/>
      <c r="C119" s="21"/>
      <c r="D119" s="21"/>
      <c r="E119" s="21"/>
      <c r="F119" s="21"/>
      <c r="G119" s="21"/>
      <c r="H119" s="22"/>
      <c r="I119" s="28" t="s">
        <v>41</v>
      </c>
      <c r="J119" s="29"/>
      <c r="K119" s="24"/>
      <c r="L119" s="24"/>
      <c r="M119" s="35"/>
      <c r="N119" s="31"/>
      <c r="O119" s="31"/>
      <c r="P119" s="31"/>
      <c r="Q119" s="24"/>
      <c r="R119" s="37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 ht="13.8">
      <c r="A120" s="10">
        <v>14</v>
      </c>
      <c r="B120" s="17" t="s">
        <v>338</v>
      </c>
      <c r="C120" s="18" t="s">
        <v>23</v>
      </c>
      <c r="D120" s="19" t="s">
        <v>339</v>
      </c>
      <c r="E120" s="20" t="s">
        <v>25</v>
      </c>
      <c r="F120" s="19">
        <v>79071510</v>
      </c>
      <c r="G120" s="19" t="s">
        <v>340</v>
      </c>
      <c r="H120" s="22">
        <v>45832</v>
      </c>
      <c r="I120" s="28" t="s">
        <v>41</v>
      </c>
      <c r="J120" s="29"/>
      <c r="K120" s="24"/>
      <c r="L120" s="24"/>
      <c r="M120" s="35"/>
      <c r="N120" s="31"/>
      <c r="O120" s="31"/>
      <c r="P120" s="31"/>
      <c r="Q120" s="31"/>
      <c r="R120" s="33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ht="27.6">
      <c r="A121" s="10"/>
      <c r="B121" s="17"/>
      <c r="C121" s="18" t="s">
        <v>27</v>
      </c>
      <c r="D121" s="19" t="s">
        <v>339</v>
      </c>
      <c r="E121" s="20" t="s">
        <v>25</v>
      </c>
      <c r="F121" s="19">
        <v>79071510</v>
      </c>
      <c r="G121" s="19" t="s">
        <v>341</v>
      </c>
      <c r="H121" s="22">
        <v>46021</v>
      </c>
      <c r="I121" s="28" t="s">
        <v>342</v>
      </c>
      <c r="J121" s="29">
        <v>96360000</v>
      </c>
      <c r="K121" s="72">
        <v>96360000</v>
      </c>
      <c r="L121" s="26" t="s">
        <v>30</v>
      </c>
      <c r="M121" s="30" t="s">
        <v>323</v>
      </c>
      <c r="N121" s="31" t="s">
        <v>343</v>
      </c>
      <c r="O121" s="32"/>
      <c r="P121" s="32"/>
      <c r="Q121" s="31" t="s">
        <v>33</v>
      </c>
      <c r="R121" s="33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 ht="27.6">
      <c r="A122" s="10"/>
      <c r="B122" s="17"/>
      <c r="C122" s="18" t="s">
        <v>27</v>
      </c>
      <c r="D122" s="19" t="s">
        <v>339</v>
      </c>
      <c r="E122" s="20" t="s">
        <v>25</v>
      </c>
      <c r="F122" s="19">
        <v>79071510</v>
      </c>
      <c r="G122" s="19" t="s">
        <v>341</v>
      </c>
      <c r="H122" s="22">
        <v>46021</v>
      </c>
      <c r="I122" s="28" t="s">
        <v>344</v>
      </c>
      <c r="J122" s="29">
        <v>100980000</v>
      </c>
      <c r="K122" s="72">
        <v>100980000</v>
      </c>
      <c r="L122" s="26" t="s">
        <v>30</v>
      </c>
      <c r="M122" s="30" t="s">
        <v>195</v>
      </c>
      <c r="N122" s="31" t="s">
        <v>345</v>
      </c>
      <c r="O122" s="32"/>
      <c r="P122" s="32"/>
      <c r="Q122" s="31" t="s">
        <v>33</v>
      </c>
      <c r="R122" s="33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 ht="27.6">
      <c r="A123" s="10"/>
      <c r="B123" s="17"/>
      <c r="C123" s="18" t="s">
        <v>27</v>
      </c>
      <c r="D123" s="19" t="s">
        <v>339</v>
      </c>
      <c r="E123" s="20" t="s">
        <v>25</v>
      </c>
      <c r="F123" s="19">
        <v>79071510</v>
      </c>
      <c r="G123" s="19" t="s">
        <v>341</v>
      </c>
      <c r="H123" s="22">
        <v>46021</v>
      </c>
      <c r="I123" s="28" t="s">
        <v>346</v>
      </c>
      <c r="J123" s="29">
        <v>420110000</v>
      </c>
      <c r="K123" s="72">
        <v>420110000</v>
      </c>
      <c r="L123" s="26" t="s">
        <v>30</v>
      </c>
      <c r="M123" s="30" t="s">
        <v>175</v>
      </c>
      <c r="N123" s="31" t="s">
        <v>347</v>
      </c>
      <c r="O123" s="32"/>
      <c r="P123" s="32"/>
      <c r="Q123" s="31" t="s">
        <v>33</v>
      </c>
      <c r="R123" s="33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 ht="27.6">
      <c r="A124" s="10"/>
      <c r="B124" s="17"/>
      <c r="C124" s="18" t="s">
        <v>27</v>
      </c>
      <c r="D124" s="19" t="s">
        <v>339</v>
      </c>
      <c r="E124" s="20" t="s">
        <v>25</v>
      </c>
      <c r="F124" s="19">
        <v>79071510</v>
      </c>
      <c r="G124" s="19" t="s">
        <v>341</v>
      </c>
      <c r="H124" s="22">
        <v>46021</v>
      </c>
      <c r="I124" s="28" t="s">
        <v>348</v>
      </c>
      <c r="J124" s="29">
        <v>237600000</v>
      </c>
      <c r="K124" s="72">
        <v>237600000</v>
      </c>
      <c r="L124" s="26" t="s">
        <v>30</v>
      </c>
      <c r="M124" s="30" t="s">
        <v>349</v>
      </c>
      <c r="N124" s="31" t="s">
        <v>350</v>
      </c>
      <c r="O124" s="32"/>
      <c r="P124" s="32"/>
      <c r="Q124" s="31" t="s">
        <v>33</v>
      </c>
      <c r="R124" s="33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ht="27.6">
      <c r="A125" s="10"/>
      <c r="B125" s="17"/>
      <c r="C125" s="18" t="s">
        <v>27</v>
      </c>
      <c r="D125" s="19" t="s">
        <v>351</v>
      </c>
      <c r="E125" s="20" t="s">
        <v>53</v>
      </c>
      <c r="F125" s="19" t="s">
        <v>77</v>
      </c>
      <c r="G125" s="19" t="s">
        <v>352</v>
      </c>
      <c r="H125" s="22">
        <v>46044</v>
      </c>
      <c r="I125" s="28" t="s">
        <v>353</v>
      </c>
      <c r="J125" s="29">
        <v>500000000</v>
      </c>
      <c r="K125" s="72">
        <v>439562500</v>
      </c>
      <c r="L125" s="26" t="s">
        <v>30</v>
      </c>
      <c r="M125" s="30" t="s">
        <v>354</v>
      </c>
      <c r="N125" s="31" t="s">
        <v>355</v>
      </c>
      <c r="O125" s="32"/>
      <c r="P125" s="32"/>
      <c r="Q125" s="31" t="s">
        <v>33</v>
      </c>
      <c r="R125" s="33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ht="27.6">
      <c r="A126" s="10"/>
      <c r="B126" s="17"/>
      <c r="C126" s="18" t="s">
        <v>34</v>
      </c>
      <c r="D126" s="19" t="s">
        <v>146</v>
      </c>
      <c r="E126" s="20" t="s">
        <v>53</v>
      </c>
      <c r="F126" s="19" t="s">
        <v>54</v>
      </c>
      <c r="G126" s="19" t="s">
        <v>356</v>
      </c>
      <c r="H126" s="22">
        <v>46007</v>
      </c>
      <c r="I126" s="28" t="s">
        <v>342</v>
      </c>
      <c r="J126" s="29">
        <v>96360000</v>
      </c>
      <c r="K126" s="72">
        <v>96360000</v>
      </c>
      <c r="L126" s="26" t="s">
        <v>30</v>
      </c>
      <c r="M126" s="30" t="s">
        <v>323</v>
      </c>
      <c r="N126" s="31" t="s">
        <v>357</v>
      </c>
      <c r="O126" s="32"/>
      <c r="P126" s="32"/>
      <c r="Q126" s="31" t="s">
        <v>33</v>
      </c>
      <c r="R126" s="33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 ht="27.6">
      <c r="A127" s="10"/>
      <c r="B127" s="17"/>
      <c r="C127" s="18" t="s">
        <v>34</v>
      </c>
      <c r="D127" s="19" t="s">
        <v>146</v>
      </c>
      <c r="E127" s="20" t="s">
        <v>53</v>
      </c>
      <c r="F127" s="19" t="s">
        <v>358</v>
      </c>
      <c r="G127" s="19" t="s">
        <v>356</v>
      </c>
      <c r="H127" s="22">
        <v>46007</v>
      </c>
      <c r="I127" s="28" t="s">
        <v>344</v>
      </c>
      <c r="J127" s="29">
        <v>100980000</v>
      </c>
      <c r="K127" s="72">
        <v>100980000</v>
      </c>
      <c r="L127" s="26" t="s">
        <v>30</v>
      </c>
      <c r="M127" s="30" t="s">
        <v>195</v>
      </c>
      <c r="N127" s="31" t="s">
        <v>359</v>
      </c>
      <c r="O127" s="32"/>
      <c r="P127" s="32"/>
      <c r="Q127" s="31" t="s">
        <v>33</v>
      </c>
      <c r="R127" s="33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 ht="13.8">
      <c r="A128" s="10"/>
      <c r="B128" s="17"/>
      <c r="C128" s="21"/>
      <c r="D128" s="21"/>
      <c r="E128" s="21"/>
      <c r="F128" s="21"/>
      <c r="G128" s="21"/>
      <c r="H128" s="22"/>
      <c r="I128" s="28" t="s">
        <v>41</v>
      </c>
      <c r="J128" s="29"/>
      <c r="K128" s="24"/>
      <c r="L128" s="24"/>
      <c r="M128" s="35"/>
      <c r="N128" s="31"/>
      <c r="O128" s="31"/>
      <c r="P128" s="31"/>
      <c r="Q128" s="24"/>
      <c r="R128" s="37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 ht="13.8">
      <c r="A129" s="10">
        <v>15</v>
      </c>
      <c r="B129" s="17" t="s">
        <v>360</v>
      </c>
      <c r="C129" s="18" t="s">
        <v>23</v>
      </c>
      <c r="D129" s="19" t="s">
        <v>361</v>
      </c>
      <c r="E129" s="20" t="s">
        <v>25</v>
      </c>
      <c r="F129" s="19">
        <v>75020655</v>
      </c>
      <c r="G129" s="19" t="s">
        <v>340</v>
      </c>
      <c r="H129" s="22">
        <v>45832</v>
      </c>
      <c r="I129" s="28" t="s">
        <v>41</v>
      </c>
      <c r="J129" s="29"/>
      <c r="K129" s="24"/>
      <c r="L129" s="24"/>
      <c r="M129" s="35"/>
      <c r="N129" s="31"/>
      <c r="O129" s="31"/>
      <c r="P129" s="31"/>
      <c r="Q129" s="31" t="s">
        <v>33</v>
      </c>
      <c r="R129" s="33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 ht="13.8">
      <c r="A130" s="10"/>
      <c r="B130" s="17"/>
      <c r="C130" s="18" t="s">
        <v>27</v>
      </c>
      <c r="D130" s="19" t="s">
        <v>361</v>
      </c>
      <c r="E130" s="20" t="s">
        <v>25</v>
      </c>
      <c r="F130" s="19">
        <v>75020655</v>
      </c>
      <c r="G130" s="19" t="s">
        <v>362</v>
      </c>
      <c r="H130" s="22">
        <v>46006</v>
      </c>
      <c r="I130" s="28" t="s">
        <v>363</v>
      </c>
      <c r="J130" s="29">
        <v>2628185000</v>
      </c>
      <c r="K130" s="72">
        <v>2628185000</v>
      </c>
      <c r="L130" s="26" t="s">
        <v>30</v>
      </c>
      <c r="M130" s="30" t="s">
        <v>364</v>
      </c>
      <c r="N130" s="31" t="s">
        <v>365</v>
      </c>
      <c r="O130" s="36"/>
      <c r="P130" s="36"/>
      <c r="Q130" s="31" t="s">
        <v>33</v>
      </c>
      <c r="R130" s="33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 ht="13.8">
      <c r="A131" s="10"/>
      <c r="B131" s="17"/>
      <c r="C131" s="18" t="s">
        <v>34</v>
      </c>
      <c r="D131" s="19" t="s">
        <v>366</v>
      </c>
      <c r="E131" s="20" t="s">
        <v>367</v>
      </c>
      <c r="F131" s="19">
        <v>86060365</v>
      </c>
      <c r="G131" s="19" t="s">
        <v>368</v>
      </c>
      <c r="H131" s="22">
        <v>46022</v>
      </c>
      <c r="I131" s="28" t="s">
        <v>369</v>
      </c>
      <c r="J131" s="29">
        <v>146730000</v>
      </c>
      <c r="K131" s="72">
        <v>146730000</v>
      </c>
      <c r="L131" s="26" t="s">
        <v>30</v>
      </c>
      <c r="M131" s="30" t="s">
        <v>370</v>
      </c>
      <c r="N131" s="31" t="s">
        <v>371</v>
      </c>
      <c r="O131" s="36"/>
      <c r="P131" s="36"/>
      <c r="Q131" s="31" t="s">
        <v>33</v>
      </c>
      <c r="R131" s="33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 ht="13.8">
      <c r="A132" s="10"/>
      <c r="B132" s="17"/>
      <c r="C132" s="18" t="s">
        <v>34</v>
      </c>
      <c r="D132" s="19" t="s">
        <v>366</v>
      </c>
      <c r="E132" s="20" t="s">
        <v>367</v>
      </c>
      <c r="F132" s="19">
        <v>86060365</v>
      </c>
      <c r="G132" s="19" t="s">
        <v>368</v>
      </c>
      <c r="H132" s="22">
        <v>46022</v>
      </c>
      <c r="I132" s="28" t="s">
        <v>372</v>
      </c>
      <c r="J132" s="29">
        <v>5519000</v>
      </c>
      <c r="K132" s="72">
        <v>5519000</v>
      </c>
      <c r="L132" s="26" t="s">
        <v>30</v>
      </c>
      <c r="M132" s="30" t="s">
        <v>232</v>
      </c>
      <c r="N132" s="31" t="s">
        <v>373</v>
      </c>
      <c r="O132" s="36"/>
      <c r="P132" s="36"/>
      <c r="Q132" s="31" t="s">
        <v>33</v>
      </c>
      <c r="R132" s="33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ht="13.8">
      <c r="A133" s="10"/>
      <c r="B133" s="17"/>
      <c r="C133" s="18" t="s">
        <v>34</v>
      </c>
      <c r="D133" s="19" t="s">
        <v>366</v>
      </c>
      <c r="E133" s="20" t="s">
        <v>367</v>
      </c>
      <c r="F133" s="19">
        <v>86060365</v>
      </c>
      <c r="G133" s="19" t="s">
        <v>368</v>
      </c>
      <c r="H133" s="22">
        <v>46022</v>
      </c>
      <c r="I133" s="28" t="s">
        <v>374</v>
      </c>
      <c r="J133" s="29">
        <v>13920000</v>
      </c>
      <c r="K133" s="72">
        <v>13920000</v>
      </c>
      <c r="L133" s="26" t="s">
        <v>30</v>
      </c>
      <c r="M133" s="30" t="s">
        <v>375</v>
      </c>
      <c r="N133" s="31" t="s">
        <v>376</v>
      </c>
      <c r="O133" s="36"/>
      <c r="P133" s="36"/>
      <c r="Q133" s="31" t="s">
        <v>33</v>
      </c>
      <c r="R133" s="33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 ht="13.8">
      <c r="A134" s="10"/>
      <c r="B134" s="17"/>
      <c r="C134" s="19"/>
      <c r="D134" s="19"/>
      <c r="E134" s="19"/>
      <c r="F134" s="19"/>
      <c r="G134" s="19"/>
      <c r="H134" s="22"/>
      <c r="I134" s="28" t="s">
        <v>41</v>
      </c>
      <c r="J134" s="29"/>
      <c r="K134" s="24"/>
      <c r="L134" s="24"/>
      <c r="M134" s="35"/>
      <c r="N134" s="31"/>
      <c r="O134" s="31"/>
      <c r="P134" s="31"/>
      <c r="Q134" s="24"/>
      <c r="R134" s="37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 ht="13.8">
      <c r="A135" s="10">
        <v>16</v>
      </c>
      <c r="B135" s="17" t="s">
        <v>377</v>
      </c>
      <c r="C135" s="18" t="s">
        <v>23</v>
      </c>
      <c r="D135" s="19" t="s">
        <v>378</v>
      </c>
      <c r="E135" s="20" t="s">
        <v>25</v>
      </c>
      <c r="F135" s="19">
        <v>78020923</v>
      </c>
      <c r="G135" s="19" t="s">
        <v>379</v>
      </c>
      <c r="H135" s="22">
        <v>45855</v>
      </c>
      <c r="I135" s="28" t="s">
        <v>41</v>
      </c>
      <c r="J135" s="29"/>
      <c r="K135" s="24"/>
      <c r="L135" s="24"/>
      <c r="M135" s="35"/>
      <c r="N135" s="31"/>
      <c r="O135" s="31"/>
      <c r="P135" s="31"/>
      <c r="Q135" s="31"/>
      <c r="R135" s="33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 ht="13.8">
      <c r="A136" s="10"/>
      <c r="B136" s="17"/>
      <c r="C136" s="18" t="s">
        <v>27</v>
      </c>
      <c r="D136" s="19" t="s">
        <v>380</v>
      </c>
      <c r="E136" s="20" t="s">
        <v>46</v>
      </c>
      <c r="F136" s="19" t="s">
        <v>74</v>
      </c>
      <c r="G136" s="19" t="s">
        <v>381</v>
      </c>
      <c r="H136" s="22">
        <v>45993</v>
      </c>
      <c r="I136" s="28" t="s">
        <v>41</v>
      </c>
      <c r="J136" s="29"/>
      <c r="K136" s="24"/>
      <c r="L136" s="24"/>
      <c r="M136" s="35"/>
      <c r="N136" s="31"/>
      <c r="O136" s="31"/>
      <c r="P136" s="31"/>
      <c r="Q136" s="31"/>
      <c r="R136" s="33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 ht="13.8">
      <c r="A137" s="10"/>
      <c r="B137" s="17"/>
      <c r="C137" s="18" t="s">
        <v>34</v>
      </c>
      <c r="D137" s="19" t="s">
        <v>334</v>
      </c>
      <c r="E137" s="20" t="s">
        <v>53</v>
      </c>
      <c r="F137" s="19" t="s">
        <v>54</v>
      </c>
      <c r="G137" s="19" t="s">
        <v>382</v>
      </c>
      <c r="H137" s="22">
        <v>45993</v>
      </c>
      <c r="I137" s="71" t="s">
        <v>383</v>
      </c>
      <c r="J137" s="29" t="s">
        <v>384</v>
      </c>
      <c r="K137" s="26" t="s">
        <v>384</v>
      </c>
      <c r="L137" s="26" t="s">
        <v>30</v>
      </c>
      <c r="M137" s="30" t="s">
        <v>385</v>
      </c>
      <c r="N137" s="31" t="s">
        <v>386</v>
      </c>
      <c r="O137" s="32"/>
      <c r="P137" s="32"/>
      <c r="Q137" s="31" t="s">
        <v>33</v>
      </c>
      <c r="R137" s="33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 ht="13.8">
      <c r="A138" s="10"/>
      <c r="B138" s="17"/>
      <c r="C138" s="18" t="s">
        <v>34</v>
      </c>
      <c r="D138" s="19" t="s">
        <v>334</v>
      </c>
      <c r="E138" s="20" t="s">
        <v>53</v>
      </c>
      <c r="F138" s="19" t="s">
        <v>54</v>
      </c>
      <c r="G138" s="19" t="s">
        <v>382</v>
      </c>
      <c r="H138" s="22">
        <v>45993</v>
      </c>
      <c r="I138" s="71" t="s">
        <v>387</v>
      </c>
      <c r="J138" s="29" t="s">
        <v>388</v>
      </c>
      <c r="K138" s="26" t="s">
        <v>388</v>
      </c>
      <c r="L138" s="26" t="s">
        <v>30</v>
      </c>
      <c r="M138" s="30" t="s">
        <v>389</v>
      </c>
      <c r="N138" s="31" t="s">
        <v>390</v>
      </c>
      <c r="O138" s="32"/>
      <c r="P138" s="32"/>
      <c r="Q138" s="31" t="s">
        <v>33</v>
      </c>
      <c r="R138" s="33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 ht="13.8">
      <c r="A139" s="10"/>
      <c r="B139" s="17"/>
      <c r="C139" s="18" t="s">
        <v>34</v>
      </c>
      <c r="D139" s="19" t="s">
        <v>334</v>
      </c>
      <c r="E139" s="20" t="s">
        <v>53</v>
      </c>
      <c r="F139" s="19" t="s">
        <v>54</v>
      </c>
      <c r="G139" s="19" t="s">
        <v>382</v>
      </c>
      <c r="H139" s="22">
        <v>45993</v>
      </c>
      <c r="I139" s="71" t="s">
        <v>391</v>
      </c>
      <c r="J139" s="29" t="s">
        <v>392</v>
      </c>
      <c r="K139" s="26" t="s">
        <v>392</v>
      </c>
      <c r="L139" s="26" t="s">
        <v>30</v>
      </c>
      <c r="M139" s="30" t="s">
        <v>393</v>
      </c>
      <c r="N139" s="31" t="s">
        <v>394</v>
      </c>
      <c r="O139" s="32"/>
      <c r="P139" s="32"/>
      <c r="Q139" s="31" t="s">
        <v>33</v>
      </c>
      <c r="R139" s="33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 ht="13.8">
      <c r="A140" s="10"/>
      <c r="B140" s="17"/>
      <c r="C140" s="21"/>
      <c r="D140" s="21"/>
      <c r="E140" s="21"/>
      <c r="F140" s="21"/>
      <c r="G140" s="21"/>
      <c r="H140" s="22"/>
      <c r="I140" s="28" t="s">
        <v>41</v>
      </c>
      <c r="J140" s="29"/>
      <c r="K140" s="24"/>
      <c r="L140" s="24"/>
      <c r="M140" s="35"/>
      <c r="N140" s="31"/>
      <c r="O140" s="73"/>
      <c r="P140" s="31"/>
      <c r="Q140" s="24"/>
      <c r="R140" s="37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 ht="13.8">
      <c r="A141" s="10">
        <v>17</v>
      </c>
      <c r="B141" s="17" t="s">
        <v>395</v>
      </c>
      <c r="C141" s="18" t="s">
        <v>23</v>
      </c>
      <c r="D141" s="19" t="s">
        <v>396</v>
      </c>
      <c r="E141" s="20" t="s">
        <v>25</v>
      </c>
      <c r="F141" s="19">
        <v>78081263</v>
      </c>
      <c r="G141" s="19" t="s">
        <v>397</v>
      </c>
      <c r="H141" s="22">
        <v>45555</v>
      </c>
      <c r="I141" s="71" t="s">
        <v>41</v>
      </c>
      <c r="J141" s="29"/>
      <c r="K141" s="21"/>
      <c r="L141" s="21"/>
      <c r="M141" s="35"/>
      <c r="N141" s="31"/>
      <c r="O141" s="31"/>
      <c r="P141" s="31"/>
      <c r="Q141" s="31"/>
      <c r="R141" s="33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 ht="13.8">
      <c r="A142" s="10"/>
      <c r="B142" s="17"/>
      <c r="C142" s="18" t="s">
        <v>27</v>
      </c>
      <c r="D142" s="19" t="s">
        <v>396</v>
      </c>
      <c r="E142" s="20" t="s">
        <v>25</v>
      </c>
      <c r="F142" s="19">
        <v>78081263</v>
      </c>
      <c r="G142" s="19" t="s">
        <v>398</v>
      </c>
      <c r="H142" s="22">
        <v>46006</v>
      </c>
      <c r="I142" s="71" t="s">
        <v>41</v>
      </c>
      <c r="J142" s="29"/>
      <c r="K142" s="21"/>
      <c r="L142" s="21"/>
      <c r="M142" s="35"/>
      <c r="N142" s="31"/>
      <c r="O142" s="31"/>
      <c r="P142" s="31"/>
      <c r="Q142" s="31"/>
      <c r="R142" s="33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 ht="13.8">
      <c r="A143" s="10"/>
      <c r="B143" s="17"/>
      <c r="C143" s="18" t="s">
        <v>34</v>
      </c>
      <c r="D143" s="19" t="s">
        <v>334</v>
      </c>
      <c r="E143" s="20" t="s">
        <v>53</v>
      </c>
      <c r="F143" s="19" t="s">
        <v>54</v>
      </c>
      <c r="G143" s="19" t="s">
        <v>399</v>
      </c>
      <c r="H143" s="22">
        <v>46048</v>
      </c>
      <c r="I143" s="71" t="s">
        <v>400</v>
      </c>
      <c r="J143" s="29">
        <v>13100000</v>
      </c>
      <c r="K143" s="72">
        <v>13100000</v>
      </c>
      <c r="L143" s="26" t="s">
        <v>30</v>
      </c>
      <c r="M143" s="30" t="s">
        <v>401</v>
      </c>
      <c r="N143" s="31" t="s">
        <v>402</v>
      </c>
      <c r="O143" s="32"/>
      <c r="P143" s="32"/>
      <c r="Q143" s="31" t="s">
        <v>33</v>
      </c>
      <c r="R143" s="33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 ht="13.8">
      <c r="A144" s="10"/>
      <c r="B144" s="17"/>
      <c r="C144" s="18" t="s">
        <v>34</v>
      </c>
      <c r="D144" s="19" t="s">
        <v>208</v>
      </c>
      <c r="E144" s="20" t="s">
        <v>124</v>
      </c>
      <c r="F144" s="19">
        <v>87100049</v>
      </c>
      <c r="G144" s="19" t="s">
        <v>403</v>
      </c>
      <c r="H144" s="22">
        <v>46048</v>
      </c>
      <c r="I144" s="71" t="s">
        <v>404</v>
      </c>
      <c r="J144" s="29">
        <v>132000000</v>
      </c>
      <c r="K144" s="72">
        <v>132000000</v>
      </c>
      <c r="L144" s="26" t="s">
        <v>30</v>
      </c>
      <c r="M144" s="30" t="s">
        <v>405</v>
      </c>
      <c r="N144" s="31" t="s">
        <v>406</v>
      </c>
      <c r="O144" s="32"/>
      <c r="P144" s="32"/>
      <c r="Q144" s="31" t="s">
        <v>33</v>
      </c>
      <c r="R144" s="33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 ht="13.8">
      <c r="A145" s="10"/>
      <c r="B145" s="17"/>
      <c r="C145" s="18" t="s">
        <v>34</v>
      </c>
      <c r="D145" s="19" t="s">
        <v>407</v>
      </c>
      <c r="E145" s="20" t="s">
        <v>36</v>
      </c>
      <c r="F145" s="19">
        <v>97050765</v>
      </c>
      <c r="G145" s="19" t="s">
        <v>408</v>
      </c>
      <c r="H145" s="22">
        <v>46385</v>
      </c>
      <c r="I145" s="71" t="s">
        <v>409</v>
      </c>
      <c r="J145" s="29">
        <v>63960000</v>
      </c>
      <c r="K145" s="72">
        <v>63960000</v>
      </c>
      <c r="L145" s="26" t="s">
        <v>30</v>
      </c>
      <c r="M145" s="30" t="s">
        <v>410</v>
      </c>
      <c r="N145" s="31" t="s">
        <v>411</v>
      </c>
      <c r="O145" s="32"/>
      <c r="P145" s="32"/>
      <c r="Q145" s="31" t="s">
        <v>33</v>
      </c>
      <c r="R145" s="33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 ht="13.8">
      <c r="A146" s="10"/>
      <c r="B146" s="17"/>
      <c r="C146" s="48"/>
      <c r="D146" s="48"/>
      <c r="E146" s="48"/>
      <c r="F146" s="48"/>
      <c r="G146" s="48"/>
      <c r="H146" s="22"/>
      <c r="I146" s="49" t="s">
        <v>41</v>
      </c>
      <c r="J146" s="29"/>
      <c r="K146" s="37"/>
      <c r="L146" s="37"/>
      <c r="M146" s="50"/>
      <c r="N146" s="31"/>
      <c r="O146" s="31"/>
      <c r="P146" s="31"/>
      <c r="Q146" s="24"/>
      <c r="R146" s="37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 ht="13.8">
      <c r="A147" s="10">
        <v>18</v>
      </c>
      <c r="B147" s="17" t="s">
        <v>412</v>
      </c>
      <c r="C147" s="18" t="s">
        <v>23</v>
      </c>
      <c r="D147" s="19" t="s">
        <v>413</v>
      </c>
      <c r="E147" s="20" t="s">
        <v>25</v>
      </c>
      <c r="F147" s="19">
        <v>70121132</v>
      </c>
      <c r="G147" s="19" t="s">
        <v>414</v>
      </c>
      <c r="H147" s="22">
        <v>43258</v>
      </c>
      <c r="I147" s="28" t="s">
        <v>41</v>
      </c>
      <c r="J147" s="29"/>
      <c r="K147" s="24"/>
      <c r="L147" s="24"/>
      <c r="M147" s="35"/>
      <c r="N147" s="31"/>
      <c r="O147" s="31"/>
      <c r="P147" s="31"/>
      <c r="Q147" s="31"/>
      <c r="R147" s="33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 ht="13.8">
      <c r="A148" s="10"/>
      <c r="B148" s="17"/>
      <c r="C148" s="18" t="s">
        <v>27</v>
      </c>
      <c r="D148" s="19" t="s">
        <v>413</v>
      </c>
      <c r="E148" s="20" t="s">
        <v>25</v>
      </c>
      <c r="F148" s="19">
        <v>70121132</v>
      </c>
      <c r="G148" s="19" t="s">
        <v>415</v>
      </c>
      <c r="H148" s="22">
        <v>46022</v>
      </c>
      <c r="I148" s="28" t="s">
        <v>41</v>
      </c>
      <c r="J148" s="29"/>
      <c r="K148" s="24"/>
      <c r="L148" s="24"/>
      <c r="M148" s="35"/>
      <c r="N148" s="31"/>
      <c r="O148" s="31"/>
      <c r="P148" s="31"/>
      <c r="Q148" s="31"/>
      <c r="R148" s="33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 ht="13.8">
      <c r="A149" s="10"/>
      <c r="B149" s="17"/>
      <c r="C149" s="18" t="s">
        <v>34</v>
      </c>
      <c r="D149" s="19" t="s">
        <v>334</v>
      </c>
      <c r="E149" s="20" t="s">
        <v>53</v>
      </c>
      <c r="F149" s="19" t="s">
        <v>54</v>
      </c>
      <c r="G149" s="19" t="s">
        <v>416</v>
      </c>
      <c r="H149" s="22">
        <v>46042</v>
      </c>
      <c r="I149" s="28" t="s">
        <v>404</v>
      </c>
      <c r="J149" s="29">
        <v>79201000</v>
      </c>
      <c r="K149" s="74">
        <v>79201000</v>
      </c>
      <c r="L149" s="26" t="s">
        <v>30</v>
      </c>
      <c r="M149" s="30" t="s">
        <v>417</v>
      </c>
      <c r="N149" s="31" t="s">
        <v>418</v>
      </c>
      <c r="O149" s="32"/>
      <c r="P149" s="32"/>
      <c r="Q149" s="31" t="s">
        <v>33</v>
      </c>
      <c r="R149" s="33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ht="13.8">
      <c r="A150" s="10"/>
      <c r="B150" s="17"/>
      <c r="C150" s="21"/>
      <c r="D150" s="21"/>
      <c r="E150" s="21"/>
      <c r="F150" s="21"/>
      <c r="G150" s="21"/>
      <c r="H150" s="22"/>
      <c r="I150" s="28" t="s">
        <v>41</v>
      </c>
      <c r="J150" s="29"/>
      <c r="K150" s="24"/>
      <c r="L150" s="24"/>
      <c r="M150" s="35"/>
      <c r="N150" s="31"/>
      <c r="O150" s="31"/>
      <c r="P150" s="31"/>
      <c r="Q150" s="24"/>
      <c r="R150" s="37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ht="13.8">
      <c r="A151" s="10">
        <v>19</v>
      </c>
      <c r="B151" s="17" t="s">
        <v>419</v>
      </c>
      <c r="C151" s="18" t="s">
        <v>23</v>
      </c>
      <c r="D151" s="19" t="s">
        <v>420</v>
      </c>
      <c r="E151" s="20" t="s">
        <v>25</v>
      </c>
      <c r="F151" s="19">
        <v>71080520</v>
      </c>
      <c r="G151" s="19" t="s">
        <v>414</v>
      </c>
      <c r="H151" s="22">
        <v>43258</v>
      </c>
      <c r="I151" s="28" t="s">
        <v>41</v>
      </c>
      <c r="J151" s="29"/>
      <c r="K151" s="24"/>
      <c r="L151" s="24"/>
      <c r="M151" s="35"/>
      <c r="N151" s="31"/>
      <c r="O151" s="31"/>
      <c r="P151" s="31"/>
      <c r="Q151" s="31"/>
      <c r="R151" s="33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 ht="27.6">
      <c r="A152" s="10"/>
      <c r="B152" s="17"/>
      <c r="C152" s="18" t="s">
        <v>27</v>
      </c>
      <c r="D152" s="19" t="s">
        <v>420</v>
      </c>
      <c r="E152" s="20" t="s">
        <v>25</v>
      </c>
      <c r="F152" s="19">
        <v>71080520</v>
      </c>
      <c r="G152" s="19" t="s">
        <v>421</v>
      </c>
      <c r="H152" s="22">
        <v>46042</v>
      </c>
      <c r="I152" s="28" t="s">
        <v>422</v>
      </c>
      <c r="J152" s="29">
        <v>2434357000</v>
      </c>
      <c r="K152" s="75">
        <v>2434355941</v>
      </c>
      <c r="L152" s="26" t="s">
        <v>30</v>
      </c>
      <c r="M152" s="30" t="s">
        <v>423</v>
      </c>
      <c r="N152" s="31" t="s">
        <v>424</v>
      </c>
      <c r="O152" s="32"/>
      <c r="P152" s="32"/>
      <c r="Q152" s="31" t="s">
        <v>33</v>
      </c>
      <c r="R152" s="33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ht="13.8">
      <c r="A153" s="10"/>
      <c r="B153" s="17"/>
      <c r="C153" s="18" t="s">
        <v>27</v>
      </c>
      <c r="D153" s="19" t="s">
        <v>420</v>
      </c>
      <c r="E153" s="20" t="s">
        <v>25</v>
      </c>
      <c r="F153" s="19">
        <v>71080520</v>
      </c>
      <c r="G153" s="19" t="s">
        <v>421</v>
      </c>
      <c r="H153" s="22">
        <v>46042</v>
      </c>
      <c r="I153" s="28" t="s">
        <v>425</v>
      </c>
      <c r="J153" s="29">
        <v>204000000</v>
      </c>
      <c r="K153" s="75">
        <v>203929200</v>
      </c>
      <c r="L153" s="26" t="s">
        <v>30</v>
      </c>
      <c r="M153" s="30" t="s">
        <v>426</v>
      </c>
      <c r="N153" s="31" t="s">
        <v>427</v>
      </c>
      <c r="O153" s="32"/>
      <c r="P153" s="32"/>
      <c r="Q153" s="31" t="s">
        <v>33</v>
      </c>
      <c r="R153" s="33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 ht="13.8">
      <c r="A154" s="10"/>
      <c r="B154" s="17"/>
      <c r="C154" s="18" t="s">
        <v>27</v>
      </c>
      <c r="D154" s="19" t="s">
        <v>420</v>
      </c>
      <c r="E154" s="20" t="s">
        <v>25</v>
      </c>
      <c r="F154" s="19">
        <v>71080520</v>
      </c>
      <c r="G154" s="19" t="s">
        <v>421</v>
      </c>
      <c r="H154" s="22">
        <v>46042</v>
      </c>
      <c r="I154" s="28" t="s">
        <v>428</v>
      </c>
      <c r="J154" s="29">
        <v>17280000</v>
      </c>
      <c r="K154" s="75">
        <v>17252991</v>
      </c>
      <c r="L154" s="26" t="s">
        <v>30</v>
      </c>
      <c r="M154" s="30" t="s">
        <v>429</v>
      </c>
      <c r="N154" s="31" t="s">
        <v>430</v>
      </c>
      <c r="O154" s="32"/>
      <c r="P154" s="32"/>
      <c r="Q154" s="31" t="s">
        <v>33</v>
      </c>
      <c r="R154" s="33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 ht="13.8">
      <c r="A155" s="10"/>
      <c r="B155" s="17"/>
      <c r="C155" s="18" t="s">
        <v>27</v>
      </c>
      <c r="D155" s="19" t="s">
        <v>420</v>
      </c>
      <c r="E155" s="20" t="s">
        <v>25</v>
      </c>
      <c r="F155" s="19">
        <v>71080520</v>
      </c>
      <c r="G155" s="19" t="s">
        <v>421</v>
      </c>
      <c r="H155" s="22">
        <v>46042</v>
      </c>
      <c r="I155" s="28" t="s">
        <v>431</v>
      </c>
      <c r="J155" s="29">
        <v>276970000</v>
      </c>
      <c r="K155" s="75">
        <v>276969999</v>
      </c>
      <c r="L155" s="26" t="s">
        <v>30</v>
      </c>
      <c r="M155" s="30" t="s">
        <v>432</v>
      </c>
      <c r="N155" s="31" t="s">
        <v>433</v>
      </c>
      <c r="O155" s="32"/>
      <c r="P155" s="32"/>
      <c r="Q155" s="31" t="s">
        <v>33</v>
      </c>
      <c r="R155" s="33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 ht="27.6">
      <c r="A156" s="10"/>
      <c r="B156" s="17"/>
      <c r="C156" s="18" t="s">
        <v>27</v>
      </c>
      <c r="D156" s="19" t="s">
        <v>420</v>
      </c>
      <c r="E156" s="20" t="s">
        <v>25</v>
      </c>
      <c r="F156" s="19">
        <v>71080520</v>
      </c>
      <c r="G156" s="19" t="s">
        <v>421</v>
      </c>
      <c r="H156" s="22">
        <v>46042</v>
      </c>
      <c r="I156" s="28" t="s">
        <v>434</v>
      </c>
      <c r="J156" s="29">
        <v>315200000</v>
      </c>
      <c r="K156" s="75">
        <v>315200000</v>
      </c>
      <c r="L156" s="26" t="s">
        <v>30</v>
      </c>
      <c r="M156" s="30" t="s">
        <v>435</v>
      </c>
      <c r="N156" s="31" t="s">
        <v>436</v>
      </c>
      <c r="O156" s="32"/>
      <c r="P156" s="32"/>
      <c r="Q156" s="31" t="s">
        <v>33</v>
      </c>
      <c r="R156" s="33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 ht="13.8">
      <c r="A157" s="10"/>
      <c r="B157" s="17"/>
      <c r="C157" s="18" t="s">
        <v>34</v>
      </c>
      <c r="D157" s="19" t="s">
        <v>146</v>
      </c>
      <c r="E157" s="20" t="s">
        <v>53</v>
      </c>
      <c r="F157" s="19" t="s">
        <v>54</v>
      </c>
      <c r="G157" s="19" t="s">
        <v>437</v>
      </c>
      <c r="H157" s="22">
        <v>46021</v>
      </c>
      <c r="I157" s="28" t="s">
        <v>438</v>
      </c>
      <c r="J157" s="29">
        <v>68900000</v>
      </c>
      <c r="K157" s="75">
        <v>68900000</v>
      </c>
      <c r="L157" s="26" t="s">
        <v>30</v>
      </c>
      <c r="M157" s="30" t="s">
        <v>439</v>
      </c>
      <c r="N157" s="31" t="s">
        <v>440</v>
      </c>
      <c r="O157" s="32"/>
      <c r="P157" s="32"/>
      <c r="Q157" s="31" t="s">
        <v>33</v>
      </c>
      <c r="R157" s="33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ht="13.8">
      <c r="A158" s="10"/>
      <c r="B158" s="17"/>
      <c r="C158" s="21"/>
      <c r="D158" s="19"/>
      <c r="E158" s="21"/>
      <c r="F158" s="21"/>
      <c r="G158" s="21"/>
      <c r="H158" s="22"/>
      <c r="I158" s="28" t="s">
        <v>41</v>
      </c>
      <c r="J158" s="29"/>
      <c r="K158" s="24"/>
      <c r="L158" s="24"/>
      <c r="M158" s="35"/>
      <c r="N158" s="31"/>
      <c r="O158" s="31"/>
      <c r="P158" s="31"/>
      <c r="Q158" s="26"/>
      <c r="R158" s="27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 ht="13.8">
      <c r="A159" s="10">
        <v>20</v>
      </c>
      <c r="B159" s="17" t="s">
        <v>441</v>
      </c>
      <c r="C159" s="18" t="s">
        <v>23</v>
      </c>
      <c r="D159" s="19" t="s">
        <v>442</v>
      </c>
      <c r="E159" s="20" t="s">
        <v>25</v>
      </c>
      <c r="F159" s="19">
        <v>70060448</v>
      </c>
      <c r="G159" s="19" t="s">
        <v>443</v>
      </c>
      <c r="H159" s="22">
        <v>45728</v>
      </c>
      <c r="I159" s="28" t="s">
        <v>41</v>
      </c>
      <c r="J159" s="29"/>
      <c r="K159" s="24"/>
      <c r="L159" s="24"/>
      <c r="M159" s="35"/>
      <c r="N159" s="31"/>
      <c r="O159" s="31"/>
      <c r="P159" s="31"/>
      <c r="Q159" s="31"/>
      <c r="R159" s="33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 ht="27.6">
      <c r="A160" s="10"/>
      <c r="B160" s="17"/>
      <c r="C160" s="18" t="s">
        <v>27</v>
      </c>
      <c r="D160" s="19" t="s">
        <v>444</v>
      </c>
      <c r="E160" s="20" t="s">
        <v>46</v>
      </c>
      <c r="F160" s="19" t="s">
        <v>74</v>
      </c>
      <c r="G160" s="19" t="s">
        <v>445</v>
      </c>
      <c r="H160" s="22">
        <v>45982</v>
      </c>
      <c r="I160" s="28" t="s">
        <v>446</v>
      </c>
      <c r="J160" s="29">
        <v>3515000</v>
      </c>
      <c r="K160" s="51">
        <v>215693900</v>
      </c>
      <c r="L160" s="26" t="s">
        <v>30</v>
      </c>
      <c r="M160" s="30" t="s">
        <v>447</v>
      </c>
      <c r="N160" s="31" t="s">
        <v>448</v>
      </c>
      <c r="O160" s="32"/>
      <c r="P160" s="32"/>
      <c r="Q160" s="31" t="s">
        <v>33</v>
      </c>
      <c r="R160" s="33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 ht="27.6">
      <c r="A161" s="10"/>
      <c r="B161" s="17"/>
      <c r="C161" s="18" t="s">
        <v>27</v>
      </c>
      <c r="D161" s="19" t="s">
        <v>444</v>
      </c>
      <c r="E161" s="20" t="s">
        <v>46</v>
      </c>
      <c r="F161" s="19" t="s">
        <v>74</v>
      </c>
      <c r="G161" s="19" t="s">
        <v>445</v>
      </c>
      <c r="H161" s="22">
        <v>45982</v>
      </c>
      <c r="I161" s="28" t="s">
        <v>446</v>
      </c>
      <c r="J161" s="29"/>
      <c r="K161" s="51">
        <v>344905200</v>
      </c>
      <c r="L161" s="26" t="s">
        <v>30</v>
      </c>
      <c r="M161" s="30" t="s">
        <v>447</v>
      </c>
      <c r="N161" s="31" t="s">
        <v>448</v>
      </c>
      <c r="O161" s="32"/>
      <c r="P161" s="32"/>
      <c r="Q161" s="31" t="s">
        <v>33</v>
      </c>
      <c r="R161" s="33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ht="27.6">
      <c r="A162" s="10"/>
      <c r="B162" s="17"/>
      <c r="C162" s="18" t="s">
        <v>27</v>
      </c>
      <c r="D162" s="19" t="s">
        <v>444</v>
      </c>
      <c r="E162" s="20" t="s">
        <v>46</v>
      </c>
      <c r="F162" s="19" t="s">
        <v>74</v>
      </c>
      <c r="G162" s="19" t="s">
        <v>445</v>
      </c>
      <c r="H162" s="22">
        <v>45982</v>
      </c>
      <c r="I162" s="28" t="s">
        <v>449</v>
      </c>
      <c r="J162" s="29">
        <v>3668917000</v>
      </c>
      <c r="K162" s="51">
        <v>3133686000</v>
      </c>
      <c r="L162" s="26" t="s">
        <v>30</v>
      </c>
      <c r="M162" s="30" t="s">
        <v>450</v>
      </c>
      <c r="N162" s="31" t="s">
        <v>451</v>
      </c>
      <c r="O162" s="32"/>
      <c r="P162" s="32"/>
      <c r="Q162" s="31" t="s">
        <v>33</v>
      </c>
      <c r="R162" s="33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 ht="27.6">
      <c r="A163" s="10"/>
      <c r="B163" s="17"/>
      <c r="C163" s="18" t="s">
        <v>27</v>
      </c>
      <c r="D163" s="19" t="s">
        <v>444</v>
      </c>
      <c r="E163" s="20" t="s">
        <v>46</v>
      </c>
      <c r="F163" s="19" t="s">
        <v>74</v>
      </c>
      <c r="G163" s="19" t="s">
        <v>445</v>
      </c>
      <c r="H163" s="22">
        <v>45982</v>
      </c>
      <c r="I163" s="28" t="s">
        <v>452</v>
      </c>
      <c r="J163" s="29">
        <v>768000000</v>
      </c>
      <c r="K163" s="51">
        <v>743733000</v>
      </c>
      <c r="L163" s="26" t="s">
        <v>30</v>
      </c>
      <c r="M163" s="30" t="s">
        <v>453</v>
      </c>
      <c r="N163" s="31" t="s">
        <v>454</v>
      </c>
      <c r="O163" s="32"/>
      <c r="P163" s="32"/>
      <c r="Q163" s="31" t="s">
        <v>33</v>
      </c>
      <c r="R163" s="33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 ht="27.6">
      <c r="A164" s="10"/>
      <c r="B164" s="17"/>
      <c r="C164" s="18" t="s">
        <v>299</v>
      </c>
      <c r="D164" s="19" t="s">
        <v>455</v>
      </c>
      <c r="E164" s="20" t="s">
        <v>53</v>
      </c>
      <c r="F164" s="19" t="s">
        <v>77</v>
      </c>
      <c r="G164" s="19" t="s">
        <v>456</v>
      </c>
      <c r="H164" s="22">
        <v>46055</v>
      </c>
      <c r="I164" s="28" t="s">
        <v>452</v>
      </c>
      <c r="J164" s="29">
        <v>768000000</v>
      </c>
      <c r="K164" s="51">
        <v>743733000</v>
      </c>
      <c r="L164" s="26" t="s">
        <v>302</v>
      </c>
      <c r="M164" s="30" t="s">
        <v>453</v>
      </c>
      <c r="N164" s="31" t="s">
        <v>454</v>
      </c>
      <c r="O164" s="32"/>
      <c r="P164" s="32"/>
      <c r="Q164" s="31" t="s">
        <v>33</v>
      </c>
      <c r="R164" s="33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 ht="27.6">
      <c r="A165" s="10"/>
      <c r="B165" s="17"/>
      <c r="C165" s="18" t="s">
        <v>299</v>
      </c>
      <c r="D165" s="19" t="s">
        <v>457</v>
      </c>
      <c r="E165" s="20" t="s">
        <v>124</v>
      </c>
      <c r="F165" s="19">
        <v>87100049</v>
      </c>
      <c r="G165" s="19" t="s">
        <v>456</v>
      </c>
      <c r="H165" s="22">
        <v>46055</v>
      </c>
      <c r="I165" s="28" t="s">
        <v>452</v>
      </c>
      <c r="J165" s="29">
        <v>768000000</v>
      </c>
      <c r="K165" s="51">
        <v>743733000</v>
      </c>
      <c r="L165" s="26" t="s">
        <v>302</v>
      </c>
      <c r="M165" s="30" t="s">
        <v>453</v>
      </c>
      <c r="N165" s="31" t="s">
        <v>454</v>
      </c>
      <c r="O165" s="32"/>
      <c r="P165" s="32"/>
      <c r="Q165" s="31" t="s">
        <v>33</v>
      </c>
      <c r="R165" s="33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 ht="27.6">
      <c r="A166" s="10"/>
      <c r="B166" s="17"/>
      <c r="C166" s="18" t="s">
        <v>299</v>
      </c>
      <c r="D166" s="19" t="s">
        <v>458</v>
      </c>
      <c r="E166" s="20" t="s">
        <v>36</v>
      </c>
      <c r="F166" s="19">
        <v>97050765</v>
      </c>
      <c r="G166" s="19" t="s">
        <v>456</v>
      </c>
      <c r="H166" s="22">
        <v>46055</v>
      </c>
      <c r="I166" s="28" t="s">
        <v>452</v>
      </c>
      <c r="J166" s="29">
        <v>768000000</v>
      </c>
      <c r="K166" s="51">
        <v>743733000</v>
      </c>
      <c r="L166" s="26" t="s">
        <v>302</v>
      </c>
      <c r="M166" s="30" t="s">
        <v>453</v>
      </c>
      <c r="N166" s="31" t="s">
        <v>454</v>
      </c>
      <c r="O166" s="32"/>
      <c r="P166" s="32"/>
      <c r="Q166" s="31" t="s">
        <v>33</v>
      </c>
      <c r="R166" s="33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 ht="27.6">
      <c r="A167" s="10"/>
      <c r="B167" s="17"/>
      <c r="C167" s="18" t="s">
        <v>34</v>
      </c>
      <c r="D167" s="19" t="s">
        <v>459</v>
      </c>
      <c r="E167" s="20" t="s">
        <v>53</v>
      </c>
      <c r="F167" s="19" t="s">
        <v>77</v>
      </c>
      <c r="G167" s="19" t="s">
        <v>460</v>
      </c>
      <c r="H167" s="22">
        <v>46021</v>
      </c>
      <c r="I167" s="28" t="s">
        <v>461</v>
      </c>
      <c r="J167" s="29">
        <v>85897000</v>
      </c>
      <c r="K167" s="26">
        <v>85815600</v>
      </c>
      <c r="L167" s="26" t="s">
        <v>30</v>
      </c>
      <c r="M167" s="30" t="s">
        <v>462</v>
      </c>
      <c r="N167" s="31" t="s">
        <v>463</v>
      </c>
      <c r="O167" s="32"/>
      <c r="P167" s="32"/>
      <c r="Q167" s="31" t="s">
        <v>33</v>
      </c>
      <c r="R167" s="33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 ht="13.8">
      <c r="A168" s="10"/>
      <c r="B168" s="17"/>
      <c r="C168" s="18" t="s">
        <v>34</v>
      </c>
      <c r="D168" s="19" t="s">
        <v>459</v>
      </c>
      <c r="E168" s="20" t="s">
        <v>53</v>
      </c>
      <c r="F168" s="19" t="s">
        <v>77</v>
      </c>
      <c r="G168" s="19" t="s">
        <v>460</v>
      </c>
      <c r="H168" s="22">
        <v>46021</v>
      </c>
      <c r="I168" s="28" t="s">
        <v>464</v>
      </c>
      <c r="J168" s="29">
        <v>132830000</v>
      </c>
      <c r="K168" s="51">
        <v>132571000</v>
      </c>
      <c r="L168" s="26" t="s">
        <v>89</v>
      </c>
      <c r="M168" s="30" t="s">
        <v>465</v>
      </c>
      <c r="N168" s="31" t="s">
        <v>466</v>
      </c>
      <c r="O168" s="32"/>
      <c r="P168" s="32"/>
      <c r="Q168" s="31" t="s">
        <v>33</v>
      </c>
      <c r="R168" s="33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 ht="13.8">
      <c r="A169" s="10"/>
      <c r="B169" s="17"/>
      <c r="C169" s="18" t="s">
        <v>27</v>
      </c>
      <c r="D169" s="19" t="s">
        <v>444</v>
      </c>
      <c r="E169" s="20" t="s">
        <v>46</v>
      </c>
      <c r="F169" s="19" t="s">
        <v>74</v>
      </c>
      <c r="G169" s="19" t="s">
        <v>445</v>
      </c>
      <c r="H169" s="22">
        <v>45982</v>
      </c>
      <c r="I169" s="28" t="s">
        <v>467</v>
      </c>
      <c r="J169" s="29">
        <v>289000000</v>
      </c>
      <c r="K169" s="51">
        <v>288702000</v>
      </c>
      <c r="L169" s="26" t="s">
        <v>89</v>
      </c>
      <c r="M169" s="30" t="s">
        <v>453</v>
      </c>
      <c r="N169" s="31" t="s">
        <v>468</v>
      </c>
      <c r="O169" s="32"/>
      <c r="P169" s="32"/>
      <c r="Q169" s="31" t="s">
        <v>33</v>
      </c>
      <c r="R169" s="33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 ht="27.6">
      <c r="A170" s="10"/>
      <c r="B170" s="17"/>
      <c r="C170" s="18" t="s">
        <v>34</v>
      </c>
      <c r="D170" s="19" t="s">
        <v>146</v>
      </c>
      <c r="E170" s="20" t="s">
        <v>53</v>
      </c>
      <c r="F170" s="19" t="s">
        <v>54</v>
      </c>
      <c r="G170" s="19" t="s">
        <v>469</v>
      </c>
      <c r="H170" s="22">
        <v>45973</v>
      </c>
      <c r="I170" s="28" t="s">
        <v>470</v>
      </c>
      <c r="J170" s="29">
        <v>6216500</v>
      </c>
      <c r="K170" s="51">
        <v>6216500</v>
      </c>
      <c r="L170" s="26" t="s">
        <v>89</v>
      </c>
      <c r="M170" s="30" t="s">
        <v>471</v>
      </c>
      <c r="N170" s="31" t="s">
        <v>472</v>
      </c>
      <c r="O170" s="32"/>
      <c r="P170" s="32"/>
      <c r="Q170" s="31" t="s">
        <v>33</v>
      </c>
      <c r="R170" s="33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 ht="27.6">
      <c r="A171" s="10"/>
      <c r="B171" s="17"/>
      <c r="C171" s="18" t="s">
        <v>34</v>
      </c>
      <c r="D171" s="19" t="s">
        <v>146</v>
      </c>
      <c r="E171" s="20" t="s">
        <v>53</v>
      </c>
      <c r="F171" s="19" t="s">
        <v>54</v>
      </c>
      <c r="G171" s="19" t="s">
        <v>469</v>
      </c>
      <c r="H171" s="22">
        <v>45973</v>
      </c>
      <c r="I171" s="28" t="s">
        <v>473</v>
      </c>
      <c r="J171" s="29">
        <v>1266500</v>
      </c>
      <c r="K171" s="51">
        <v>1266500</v>
      </c>
      <c r="L171" s="26" t="s">
        <v>89</v>
      </c>
      <c r="M171" s="30" t="s">
        <v>471</v>
      </c>
      <c r="N171" s="31" t="s">
        <v>474</v>
      </c>
      <c r="O171" s="32"/>
      <c r="P171" s="32"/>
      <c r="Q171" s="31" t="s">
        <v>33</v>
      </c>
      <c r="R171" s="33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 ht="27.6">
      <c r="A172" s="10"/>
      <c r="B172" s="17"/>
      <c r="C172" s="18" t="s">
        <v>34</v>
      </c>
      <c r="D172" s="19" t="s">
        <v>146</v>
      </c>
      <c r="E172" s="20" t="s">
        <v>53</v>
      </c>
      <c r="F172" s="19" t="s">
        <v>54</v>
      </c>
      <c r="G172" s="19" t="s">
        <v>469</v>
      </c>
      <c r="H172" s="22">
        <v>45973</v>
      </c>
      <c r="I172" s="28" t="s">
        <v>475</v>
      </c>
      <c r="J172" s="29">
        <v>8158500</v>
      </c>
      <c r="K172" s="51">
        <v>8158500</v>
      </c>
      <c r="L172" s="26" t="s">
        <v>89</v>
      </c>
      <c r="M172" s="30" t="s">
        <v>471</v>
      </c>
      <c r="N172" s="31" t="s">
        <v>476</v>
      </c>
      <c r="O172" s="32"/>
      <c r="P172" s="32"/>
      <c r="Q172" s="31" t="s">
        <v>33</v>
      </c>
      <c r="R172" s="33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 ht="27.6">
      <c r="A173" s="10"/>
      <c r="B173" s="17"/>
      <c r="C173" s="18" t="s">
        <v>34</v>
      </c>
      <c r="D173" s="19" t="s">
        <v>146</v>
      </c>
      <c r="E173" s="20" t="s">
        <v>53</v>
      </c>
      <c r="F173" s="19" t="s">
        <v>54</v>
      </c>
      <c r="G173" s="19" t="s">
        <v>469</v>
      </c>
      <c r="H173" s="22">
        <v>45973</v>
      </c>
      <c r="I173" s="28" t="s">
        <v>477</v>
      </c>
      <c r="J173" s="29">
        <v>92160000</v>
      </c>
      <c r="K173" s="51">
        <v>9797000</v>
      </c>
      <c r="L173" s="26" t="s">
        <v>89</v>
      </c>
      <c r="M173" s="30" t="s">
        <v>478</v>
      </c>
      <c r="N173" s="31" t="s">
        <v>479</v>
      </c>
      <c r="O173" s="32"/>
      <c r="P173" s="32"/>
      <c r="Q173" s="31" t="s">
        <v>33</v>
      </c>
      <c r="R173" s="33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 ht="27.6">
      <c r="A174" s="10"/>
      <c r="B174" s="17"/>
      <c r="C174" s="18" t="s">
        <v>34</v>
      </c>
      <c r="D174" s="19" t="s">
        <v>146</v>
      </c>
      <c r="E174" s="20" t="s">
        <v>53</v>
      </c>
      <c r="F174" s="19" t="s">
        <v>54</v>
      </c>
      <c r="G174" s="19" t="s">
        <v>469</v>
      </c>
      <c r="H174" s="22">
        <v>45973</v>
      </c>
      <c r="I174" s="28" t="s">
        <v>480</v>
      </c>
      <c r="J174" s="29">
        <v>23120000</v>
      </c>
      <c r="K174" s="51">
        <v>22977000</v>
      </c>
      <c r="L174" s="26" t="s">
        <v>89</v>
      </c>
      <c r="M174" s="30" t="s">
        <v>478</v>
      </c>
      <c r="N174" s="31" t="s">
        <v>481</v>
      </c>
      <c r="O174" s="32"/>
      <c r="P174" s="32"/>
      <c r="Q174" s="31" t="s">
        <v>33</v>
      </c>
      <c r="R174" s="33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 ht="27.6">
      <c r="A175" s="10"/>
      <c r="B175" s="17"/>
      <c r="C175" s="18" t="s">
        <v>34</v>
      </c>
      <c r="D175" s="19" t="s">
        <v>146</v>
      </c>
      <c r="E175" s="20" t="s">
        <v>53</v>
      </c>
      <c r="F175" s="19" t="s">
        <v>54</v>
      </c>
      <c r="G175" s="19" t="s">
        <v>469</v>
      </c>
      <c r="H175" s="22">
        <v>45973</v>
      </c>
      <c r="I175" s="28" t="s">
        <v>482</v>
      </c>
      <c r="J175" s="29" t="s">
        <v>483</v>
      </c>
      <c r="K175" s="51">
        <v>9876225</v>
      </c>
      <c r="L175" s="26" t="s">
        <v>89</v>
      </c>
      <c r="M175" s="30" t="s">
        <v>478</v>
      </c>
      <c r="N175" s="31" t="s">
        <v>484</v>
      </c>
      <c r="O175" s="32"/>
      <c r="P175" s="32"/>
      <c r="Q175" s="31" t="s">
        <v>33</v>
      </c>
      <c r="R175" s="33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 ht="27.6">
      <c r="A176" s="10"/>
      <c r="B176" s="17"/>
      <c r="C176" s="18" t="s">
        <v>27</v>
      </c>
      <c r="D176" s="19" t="s">
        <v>444</v>
      </c>
      <c r="E176" s="20" t="s">
        <v>46</v>
      </c>
      <c r="F176" s="19" t="s">
        <v>74</v>
      </c>
      <c r="G176" s="19" t="s">
        <v>445</v>
      </c>
      <c r="H176" s="22">
        <v>45982</v>
      </c>
      <c r="I176" s="28" t="s">
        <v>485</v>
      </c>
      <c r="J176" s="29">
        <v>303212000</v>
      </c>
      <c r="K176" s="51">
        <v>8283982</v>
      </c>
      <c r="L176" s="26" t="s">
        <v>30</v>
      </c>
      <c r="M176" s="30" t="s">
        <v>447</v>
      </c>
      <c r="N176" s="31" t="s">
        <v>486</v>
      </c>
      <c r="O176" s="32"/>
      <c r="P176" s="32"/>
      <c r="Q176" s="31" t="s">
        <v>33</v>
      </c>
      <c r="R176" s="33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 ht="27.6">
      <c r="A177" s="10"/>
      <c r="B177" s="17"/>
      <c r="C177" s="18" t="s">
        <v>34</v>
      </c>
      <c r="D177" s="19" t="s">
        <v>459</v>
      </c>
      <c r="E177" s="20" t="s">
        <v>53</v>
      </c>
      <c r="F177" s="19" t="s">
        <v>77</v>
      </c>
      <c r="G177" s="19" t="s">
        <v>460</v>
      </c>
      <c r="H177" s="22">
        <v>46021</v>
      </c>
      <c r="I177" s="28" t="s">
        <v>485</v>
      </c>
      <c r="J177" s="29"/>
      <c r="K177" s="24"/>
      <c r="L177" s="24"/>
      <c r="M177" s="35"/>
      <c r="N177" s="31"/>
      <c r="O177" s="32"/>
      <c r="P177" s="32"/>
      <c r="Q177" s="31" t="s">
        <v>33</v>
      </c>
      <c r="R177" s="33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 ht="27.6">
      <c r="A178" s="10"/>
      <c r="B178" s="17"/>
      <c r="C178" s="18" t="s">
        <v>34</v>
      </c>
      <c r="D178" s="19" t="s">
        <v>459</v>
      </c>
      <c r="E178" s="20" t="s">
        <v>53</v>
      </c>
      <c r="F178" s="19" t="s">
        <v>77</v>
      </c>
      <c r="G178" s="19" t="s">
        <v>460</v>
      </c>
      <c r="H178" s="22">
        <v>46021</v>
      </c>
      <c r="I178" s="28" t="s">
        <v>487</v>
      </c>
      <c r="J178" s="29">
        <v>48545000</v>
      </c>
      <c r="K178" s="51">
        <v>48508500</v>
      </c>
      <c r="L178" s="26" t="s">
        <v>30</v>
      </c>
      <c r="M178" s="30" t="s">
        <v>488</v>
      </c>
      <c r="N178" s="31" t="s">
        <v>489</v>
      </c>
      <c r="O178" s="32"/>
      <c r="P178" s="32"/>
      <c r="Q178" s="31" t="s">
        <v>33</v>
      </c>
      <c r="R178" s="33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 ht="41.4">
      <c r="A179" s="10"/>
      <c r="B179" s="17"/>
      <c r="C179" s="18" t="s">
        <v>34</v>
      </c>
      <c r="D179" s="19" t="s">
        <v>459</v>
      </c>
      <c r="E179" s="20" t="s">
        <v>53</v>
      </c>
      <c r="F179" s="19" t="s">
        <v>77</v>
      </c>
      <c r="G179" s="19" t="s">
        <v>460</v>
      </c>
      <c r="H179" s="22">
        <v>46021</v>
      </c>
      <c r="I179" s="28" t="s">
        <v>490</v>
      </c>
      <c r="J179" s="29">
        <v>64950000</v>
      </c>
      <c r="K179" s="26">
        <v>63825000</v>
      </c>
      <c r="L179" s="26" t="s">
        <v>89</v>
      </c>
      <c r="M179" s="30" t="s">
        <v>491</v>
      </c>
      <c r="N179" s="31" t="s">
        <v>492</v>
      </c>
      <c r="O179" s="32"/>
      <c r="P179" s="32"/>
      <c r="Q179" s="24"/>
      <c r="R179" s="37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 ht="27.6">
      <c r="A180" s="10"/>
      <c r="B180" s="17"/>
      <c r="C180" s="18" t="s">
        <v>34</v>
      </c>
      <c r="D180" s="19" t="s">
        <v>459</v>
      </c>
      <c r="E180" s="20" t="s">
        <v>53</v>
      </c>
      <c r="F180" s="19" t="s">
        <v>77</v>
      </c>
      <c r="G180" s="19" t="s">
        <v>460</v>
      </c>
      <c r="H180" s="22">
        <v>46021</v>
      </c>
      <c r="I180" s="28" t="s">
        <v>493</v>
      </c>
      <c r="J180" s="29">
        <v>5390000</v>
      </c>
      <c r="K180" s="26">
        <v>4890800</v>
      </c>
      <c r="L180" s="26" t="s">
        <v>30</v>
      </c>
      <c r="M180" s="30" t="s">
        <v>494</v>
      </c>
      <c r="N180" s="31" t="s">
        <v>495</v>
      </c>
      <c r="O180" s="32"/>
      <c r="P180" s="32"/>
      <c r="Q180" s="24"/>
      <c r="R180" s="37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 ht="27.6">
      <c r="A181" s="10"/>
      <c r="B181" s="17"/>
      <c r="C181" s="18" t="s">
        <v>34</v>
      </c>
      <c r="D181" s="19" t="s">
        <v>459</v>
      </c>
      <c r="E181" s="20" t="s">
        <v>53</v>
      </c>
      <c r="F181" s="19" t="s">
        <v>77</v>
      </c>
      <c r="G181" s="19" t="s">
        <v>460</v>
      </c>
      <c r="H181" s="22">
        <v>46021</v>
      </c>
      <c r="I181" s="28" t="s">
        <v>496</v>
      </c>
      <c r="J181" s="29">
        <v>2695000</v>
      </c>
      <c r="K181" s="76">
        <v>4890800</v>
      </c>
      <c r="L181" s="26" t="s">
        <v>30</v>
      </c>
      <c r="M181" s="30" t="s">
        <v>497</v>
      </c>
      <c r="N181" s="31" t="s">
        <v>495</v>
      </c>
      <c r="O181" s="32"/>
      <c r="P181" s="32"/>
      <c r="Q181" s="24"/>
      <c r="R181" s="37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 ht="27.6">
      <c r="A182" s="10"/>
      <c r="B182" s="17"/>
      <c r="C182" s="18" t="s">
        <v>34</v>
      </c>
      <c r="D182" s="19" t="s">
        <v>459</v>
      </c>
      <c r="E182" s="20" t="s">
        <v>53</v>
      </c>
      <c r="F182" s="19" t="s">
        <v>77</v>
      </c>
      <c r="G182" s="19" t="s">
        <v>460</v>
      </c>
      <c r="H182" s="22">
        <v>46021</v>
      </c>
      <c r="I182" s="28" t="s">
        <v>498</v>
      </c>
      <c r="J182" s="29">
        <v>21530000</v>
      </c>
      <c r="K182" s="76">
        <v>19940000</v>
      </c>
      <c r="L182" s="26" t="s">
        <v>30</v>
      </c>
      <c r="M182" s="30" t="s">
        <v>499</v>
      </c>
      <c r="N182" s="31" t="s">
        <v>500</v>
      </c>
      <c r="O182" s="32"/>
      <c r="P182" s="32"/>
      <c r="Q182" s="24"/>
      <c r="R182" s="37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 ht="13.8">
      <c r="A183" s="10"/>
      <c r="B183" s="17"/>
      <c r="C183" s="19"/>
      <c r="D183" s="19"/>
      <c r="E183" s="19"/>
      <c r="F183" s="19"/>
      <c r="G183" s="19"/>
      <c r="H183" s="22"/>
      <c r="I183" s="28"/>
      <c r="J183" s="29"/>
      <c r="K183" s="24"/>
      <c r="L183" s="24"/>
      <c r="M183" s="35"/>
      <c r="N183" s="31"/>
      <c r="O183" s="31"/>
      <c r="P183" s="31"/>
      <c r="Q183" s="31"/>
      <c r="R183" s="33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 ht="13.8">
      <c r="A184" s="10">
        <v>21</v>
      </c>
      <c r="B184" s="17" t="s">
        <v>501</v>
      </c>
      <c r="C184" s="18" t="s">
        <v>23</v>
      </c>
      <c r="D184" s="19"/>
      <c r="E184" s="19"/>
      <c r="F184" s="19"/>
      <c r="G184" s="19"/>
      <c r="H184" s="22"/>
      <c r="I184" s="28"/>
      <c r="J184" s="29"/>
      <c r="K184" s="24"/>
      <c r="L184" s="24"/>
      <c r="M184" s="35"/>
      <c r="N184" s="31"/>
      <c r="O184" s="31"/>
      <c r="P184" s="31"/>
      <c r="Q184" s="31"/>
      <c r="R184" s="33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 ht="13.8">
      <c r="A185" s="10"/>
      <c r="B185" s="17"/>
      <c r="C185" s="18" t="s">
        <v>34</v>
      </c>
      <c r="D185" s="19" t="s">
        <v>502</v>
      </c>
      <c r="E185" s="20" t="s">
        <v>25</v>
      </c>
      <c r="F185" s="19">
        <v>73110614</v>
      </c>
      <c r="G185" s="19" t="s">
        <v>503</v>
      </c>
      <c r="H185" s="22">
        <v>46073</v>
      </c>
      <c r="I185" s="28" t="s">
        <v>504</v>
      </c>
      <c r="J185" s="29"/>
      <c r="K185" s="24"/>
      <c r="L185" s="24"/>
      <c r="M185" s="35"/>
      <c r="N185" s="31"/>
      <c r="O185" s="31"/>
      <c r="P185" s="31"/>
      <c r="Q185" s="31"/>
      <c r="R185" s="33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 ht="13.8">
      <c r="A186" s="10"/>
      <c r="B186" s="17"/>
      <c r="C186" s="18" t="s">
        <v>27</v>
      </c>
      <c r="D186" s="19" t="s">
        <v>505</v>
      </c>
      <c r="E186" s="20" t="s">
        <v>53</v>
      </c>
      <c r="F186" s="52" t="s">
        <v>506</v>
      </c>
      <c r="G186" s="19" t="s">
        <v>507</v>
      </c>
      <c r="H186" s="22">
        <v>46002</v>
      </c>
      <c r="I186" s="77" t="s">
        <v>508</v>
      </c>
      <c r="J186" s="29">
        <v>102272000</v>
      </c>
      <c r="K186" s="75">
        <v>95000000</v>
      </c>
      <c r="L186" s="26" t="s">
        <v>30</v>
      </c>
      <c r="M186" s="30" t="s">
        <v>509</v>
      </c>
      <c r="N186" s="31" t="s">
        <v>510</v>
      </c>
      <c r="O186" s="32"/>
      <c r="P186" s="32"/>
      <c r="Q186" s="31" t="s">
        <v>33</v>
      </c>
      <c r="R186" s="33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 ht="13.8">
      <c r="A187" s="10"/>
      <c r="B187" s="17"/>
      <c r="C187" s="18" t="s">
        <v>34</v>
      </c>
      <c r="D187" s="19" t="s">
        <v>208</v>
      </c>
      <c r="E187" s="20" t="s">
        <v>124</v>
      </c>
      <c r="F187" s="19">
        <v>871000493</v>
      </c>
      <c r="G187" s="19" t="s">
        <v>511</v>
      </c>
      <c r="H187" s="22">
        <v>46002</v>
      </c>
      <c r="I187" s="78" t="s">
        <v>512</v>
      </c>
      <c r="J187" s="29">
        <v>42308000</v>
      </c>
      <c r="K187" s="75">
        <v>23302000</v>
      </c>
      <c r="L187" s="26" t="s">
        <v>30</v>
      </c>
      <c r="M187" s="30" t="s">
        <v>513</v>
      </c>
      <c r="N187" s="31" t="s">
        <v>514</v>
      </c>
      <c r="O187" s="32"/>
      <c r="P187" s="32"/>
      <c r="Q187" s="31" t="s">
        <v>33</v>
      </c>
      <c r="R187" s="33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 ht="13.8">
      <c r="A188" s="10"/>
      <c r="B188" s="17"/>
      <c r="C188" s="21"/>
      <c r="D188" s="21"/>
      <c r="E188" s="21"/>
      <c r="F188" s="21"/>
      <c r="G188" s="21"/>
      <c r="H188" s="22"/>
      <c r="I188" s="28" t="s">
        <v>41</v>
      </c>
      <c r="J188" s="29"/>
      <c r="K188" s="75"/>
      <c r="L188" s="26"/>
      <c r="M188" s="30"/>
      <c r="N188" s="31"/>
      <c r="O188" s="31"/>
      <c r="P188" s="31"/>
      <c r="Q188" s="24"/>
      <c r="R188" s="37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 ht="13.8">
      <c r="A189" s="10">
        <v>22</v>
      </c>
      <c r="B189" s="17" t="s">
        <v>515</v>
      </c>
      <c r="C189" s="18" t="s">
        <v>23</v>
      </c>
      <c r="D189" s="19" t="s">
        <v>516</v>
      </c>
      <c r="E189" s="20" t="s">
        <v>25</v>
      </c>
      <c r="F189" s="19">
        <v>78051226</v>
      </c>
      <c r="G189" s="19" t="s">
        <v>95</v>
      </c>
      <c r="H189" s="22">
        <v>46197</v>
      </c>
      <c r="I189" s="28" t="s">
        <v>41</v>
      </c>
      <c r="J189" s="29"/>
      <c r="K189" s="24"/>
      <c r="L189" s="24"/>
      <c r="M189" s="35"/>
      <c r="N189" s="31"/>
      <c r="O189" s="31"/>
      <c r="P189" s="31"/>
      <c r="Q189" s="31"/>
      <c r="R189" s="33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 ht="13.8">
      <c r="A190" s="10"/>
      <c r="B190" s="17"/>
      <c r="C190" s="18" t="s">
        <v>27</v>
      </c>
      <c r="D190" s="19" t="s">
        <v>516</v>
      </c>
      <c r="E190" s="20" t="s">
        <v>25</v>
      </c>
      <c r="F190" s="19">
        <v>78051226</v>
      </c>
      <c r="G190" s="19" t="s">
        <v>517</v>
      </c>
      <c r="H190" s="22">
        <v>46014</v>
      </c>
      <c r="I190" s="28" t="s">
        <v>518</v>
      </c>
      <c r="J190" s="29"/>
      <c r="K190" s="24"/>
      <c r="L190" s="24"/>
      <c r="M190" s="35"/>
      <c r="N190" s="31"/>
      <c r="O190" s="31"/>
      <c r="P190" s="31"/>
      <c r="Q190" s="31"/>
      <c r="R190" s="33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 ht="13.8">
      <c r="A191" s="10"/>
      <c r="B191" s="17"/>
      <c r="C191" s="18" t="s">
        <v>27</v>
      </c>
      <c r="D191" s="19" t="s">
        <v>516</v>
      </c>
      <c r="E191" s="20" t="s">
        <v>25</v>
      </c>
      <c r="F191" s="19">
        <v>78051226</v>
      </c>
      <c r="G191" s="19" t="s">
        <v>517</v>
      </c>
      <c r="H191" s="22">
        <v>46022</v>
      </c>
      <c r="I191" s="28" t="s">
        <v>519</v>
      </c>
      <c r="J191" s="29">
        <v>105670000</v>
      </c>
      <c r="K191" s="51">
        <v>105670000</v>
      </c>
      <c r="L191" s="26" t="s">
        <v>30</v>
      </c>
      <c r="M191" s="30" t="s">
        <v>520</v>
      </c>
      <c r="N191" s="31" t="s">
        <v>521</v>
      </c>
      <c r="O191" s="32"/>
      <c r="P191" s="32"/>
      <c r="Q191" s="31" t="s">
        <v>33</v>
      </c>
      <c r="R191" s="33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 ht="13.8">
      <c r="A192" s="10"/>
      <c r="B192" s="17"/>
      <c r="C192" s="18" t="s">
        <v>27</v>
      </c>
      <c r="D192" s="19" t="s">
        <v>516</v>
      </c>
      <c r="E192" s="20" t="s">
        <v>25</v>
      </c>
      <c r="F192" s="19">
        <v>78051226</v>
      </c>
      <c r="G192" s="19" t="s">
        <v>517</v>
      </c>
      <c r="H192" s="22">
        <v>46022</v>
      </c>
      <c r="I192" s="28" t="s">
        <v>522</v>
      </c>
      <c r="J192" s="29">
        <v>999900000</v>
      </c>
      <c r="K192" s="51">
        <v>998910000</v>
      </c>
      <c r="L192" s="26" t="s">
        <v>30</v>
      </c>
      <c r="M192" s="30" t="s">
        <v>523</v>
      </c>
      <c r="N192" s="31" t="s">
        <v>524</v>
      </c>
      <c r="O192" s="32"/>
      <c r="P192" s="32"/>
      <c r="Q192" s="31" t="s">
        <v>33</v>
      </c>
      <c r="R192" s="33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 ht="13.8">
      <c r="A193" s="10"/>
      <c r="B193" s="17"/>
      <c r="C193" s="18" t="s">
        <v>27</v>
      </c>
      <c r="D193" s="19" t="s">
        <v>516</v>
      </c>
      <c r="E193" s="20" t="s">
        <v>25</v>
      </c>
      <c r="F193" s="19">
        <v>78051226</v>
      </c>
      <c r="G193" s="19" t="s">
        <v>517</v>
      </c>
      <c r="H193" s="22">
        <v>46022</v>
      </c>
      <c r="I193" s="28" t="s">
        <v>525</v>
      </c>
      <c r="J193" s="29">
        <v>499950000</v>
      </c>
      <c r="K193" s="51">
        <v>499455000</v>
      </c>
      <c r="L193" s="26" t="s">
        <v>30</v>
      </c>
      <c r="M193" s="30" t="s">
        <v>523</v>
      </c>
      <c r="N193" s="31" t="s">
        <v>526</v>
      </c>
      <c r="O193" s="32"/>
      <c r="P193" s="32"/>
      <c r="Q193" s="31" t="s">
        <v>33</v>
      </c>
      <c r="R193" s="33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 ht="27.6">
      <c r="A194" s="10"/>
      <c r="B194" s="17"/>
      <c r="C194" s="18" t="s">
        <v>27</v>
      </c>
      <c r="D194" s="19" t="s">
        <v>516</v>
      </c>
      <c r="E194" s="20" t="s">
        <v>25</v>
      </c>
      <c r="F194" s="19">
        <v>78051226</v>
      </c>
      <c r="G194" s="19" t="s">
        <v>517</v>
      </c>
      <c r="H194" s="22">
        <v>46022</v>
      </c>
      <c r="I194" s="28" t="s">
        <v>527</v>
      </c>
      <c r="J194" s="29">
        <v>449600000</v>
      </c>
      <c r="K194" s="51">
        <v>448000000</v>
      </c>
      <c r="L194" s="26" t="s">
        <v>30</v>
      </c>
      <c r="M194" s="30" t="s">
        <v>528</v>
      </c>
      <c r="N194" s="31" t="s">
        <v>529</v>
      </c>
      <c r="O194" s="32"/>
      <c r="P194" s="32"/>
      <c r="Q194" s="31" t="s">
        <v>33</v>
      </c>
      <c r="R194" s="33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ht="13.8">
      <c r="A195" s="10"/>
      <c r="B195" s="17"/>
      <c r="C195" s="18" t="s">
        <v>34</v>
      </c>
      <c r="D195" s="19" t="s">
        <v>208</v>
      </c>
      <c r="E195" s="20" t="s">
        <v>124</v>
      </c>
      <c r="F195" s="19">
        <v>87100049</v>
      </c>
      <c r="G195" s="19" t="s">
        <v>530</v>
      </c>
      <c r="H195" s="22">
        <v>46022</v>
      </c>
      <c r="I195" s="28" t="s">
        <v>531</v>
      </c>
      <c r="J195" s="29">
        <v>169907000</v>
      </c>
      <c r="K195" s="51">
        <v>169396500</v>
      </c>
      <c r="L195" s="26" t="s">
        <v>30</v>
      </c>
      <c r="M195" s="30" t="s">
        <v>523</v>
      </c>
      <c r="N195" s="31" t="s">
        <v>532</v>
      </c>
      <c r="O195" s="32"/>
      <c r="P195" s="32"/>
      <c r="Q195" s="31" t="s">
        <v>33</v>
      </c>
      <c r="R195" s="33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 ht="27.6">
      <c r="A196" s="10"/>
      <c r="B196" s="17"/>
      <c r="C196" s="18" t="s">
        <v>299</v>
      </c>
      <c r="D196" s="19" t="s">
        <v>52</v>
      </c>
      <c r="E196" s="20" t="s">
        <v>53</v>
      </c>
      <c r="F196" s="19" t="s">
        <v>54</v>
      </c>
      <c r="G196" s="19" t="s">
        <v>533</v>
      </c>
      <c r="H196" s="22">
        <v>46042</v>
      </c>
      <c r="I196" s="28" t="s">
        <v>534</v>
      </c>
      <c r="J196" s="29">
        <v>923704000</v>
      </c>
      <c r="K196" s="51">
        <v>828800000</v>
      </c>
      <c r="L196" s="26" t="s">
        <v>302</v>
      </c>
      <c r="M196" s="30" t="s">
        <v>535</v>
      </c>
      <c r="N196" s="31" t="s">
        <v>536</v>
      </c>
      <c r="O196" s="32"/>
      <c r="P196" s="32"/>
      <c r="Q196" s="31" t="s">
        <v>33</v>
      </c>
      <c r="R196" s="33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 ht="27.6">
      <c r="A197" s="10"/>
      <c r="B197" s="17"/>
      <c r="C197" s="18" t="s">
        <v>299</v>
      </c>
      <c r="D197" s="19" t="s">
        <v>208</v>
      </c>
      <c r="E197" s="20" t="s">
        <v>124</v>
      </c>
      <c r="F197" s="19">
        <v>87100049</v>
      </c>
      <c r="G197" s="19" t="s">
        <v>533</v>
      </c>
      <c r="H197" s="22">
        <v>46042</v>
      </c>
      <c r="I197" s="28" t="s">
        <v>534</v>
      </c>
      <c r="J197" s="29">
        <v>923704000</v>
      </c>
      <c r="K197" s="51">
        <v>828800000</v>
      </c>
      <c r="L197" s="26" t="s">
        <v>302</v>
      </c>
      <c r="M197" s="30" t="s">
        <v>535</v>
      </c>
      <c r="N197" s="31" t="s">
        <v>536</v>
      </c>
      <c r="O197" s="32"/>
      <c r="P197" s="32"/>
      <c r="Q197" s="31" t="s">
        <v>33</v>
      </c>
      <c r="R197" s="33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 ht="27.6">
      <c r="A198" s="10"/>
      <c r="B198" s="17"/>
      <c r="C198" s="18" t="s">
        <v>299</v>
      </c>
      <c r="D198" s="19" t="s">
        <v>35</v>
      </c>
      <c r="E198" s="20" t="s">
        <v>36</v>
      </c>
      <c r="F198" s="19">
        <v>97050765</v>
      </c>
      <c r="G198" s="19" t="s">
        <v>533</v>
      </c>
      <c r="H198" s="22">
        <v>46042</v>
      </c>
      <c r="I198" s="28" t="s">
        <v>534</v>
      </c>
      <c r="J198" s="29">
        <v>923704000</v>
      </c>
      <c r="K198" s="51">
        <v>828800000</v>
      </c>
      <c r="L198" s="26" t="s">
        <v>302</v>
      </c>
      <c r="M198" s="30" t="s">
        <v>535</v>
      </c>
      <c r="N198" s="31" t="s">
        <v>536</v>
      </c>
      <c r="O198" s="32"/>
      <c r="P198" s="32"/>
      <c r="Q198" s="31" t="s">
        <v>33</v>
      </c>
      <c r="R198" s="33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 ht="13.8">
      <c r="A199" s="10"/>
      <c r="B199" s="17"/>
      <c r="C199" s="18" t="s">
        <v>299</v>
      </c>
      <c r="D199" s="19" t="s">
        <v>459</v>
      </c>
      <c r="E199" s="20" t="s">
        <v>53</v>
      </c>
      <c r="F199" s="19" t="s">
        <v>77</v>
      </c>
      <c r="G199" s="19" t="s">
        <v>537</v>
      </c>
      <c r="H199" s="22">
        <v>46080</v>
      </c>
      <c r="I199" s="28" t="s">
        <v>538</v>
      </c>
      <c r="J199" s="29">
        <v>164032000</v>
      </c>
      <c r="K199" s="51">
        <v>80000000</v>
      </c>
      <c r="L199" s="26" t="s">
        <v>302</v>
      </c>
      <c r="M199" s="30" t="s">
        <v>539</v>
      </c>
      <c r="N199" s="31" t="s">
        <v>540</v>
      </c>
      <c r="O199" s="32"/>
      <c r="P199" s="32"/>
      <c r="Q199" s="31" t="s">
        <v>33</v>
      </c>
      <c r="R199" s="33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 ht="13.8">
      <c r="A200" s="10"/>
      <c r="B200" s="17"/>
      <c r="C200" s="18" t="s">
        <v>299</v>
      </c>
      <c r="D200" s="19" t="s">
        <v>208</v>
      </c>
      <c r="E200" s="20" t="s">
        <v>124</v>
      </c>
      <c r="F200" s="19">
        <v>87100049</v>
      </c>
      <c r="G200" s="19" t="s">
        <v>537</v>
      </c>
      <c r="H200" s="22">
        <v>46080</v>
      </c>
      <c r="I200" s="28" t="s">
        <v>538</v>
      </c>
      <c r="J200" s="29">
        <v>164032000</v>
      </c>
      <c r="K200" s="51">
        <v>80000000</v>
      </c>
      <c r="L200" s="26" t="s">
        <v>302</v>
      </c>
      <c r="M200" s="30" t="s">
        <v>539</v>
      </c>
      <c r="N200" s="31" t="s">
        <v>540</v>
      </c>
      <c r="O200" s="32"/>
      <c r="P200" s="32"/>
      <c r="Q200" s="31" t="s">
        <v>33</v>
      </c>
      <c r="R200" s="33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 ht="13.8">
      <c r="A201" s="10"/>
      <c r="B201" s="17"/>
      <c r="C201" s="18" t="s">
        <v>299</v>
      </c>
      <c r="D201" s="19" t="s">
        <v>35</v>
      </c>
      <c r="E201" s="20" t="s">
        <v>36</v>
      </c>
      <c r="F201" s="19">
        <v>97050765</v>
      </c>
      <c r="G201" s="19" t="s">
        <v>541</v>
      </c>
      <c r="H201" s="22">
        <v>46080</v>
      </c>
      <c r="I201" s="28" t="s">
        <v>538</v>
      </c>
      <c r="J201" s="29">
        <v>164032000</v>
      </c>
      <c r="K201" s="51">
        <v>80000000</v>
      </c>
      <c r="L201" s="26" t="s">
        <v>302</v>
      </c>
      <c r="M201" s="30" t="s">
        <v>539</v>
      </c>
      <c r="N201" s="31" t="s">
        <v>540</v>
      </c>
      <c r="O201" s="32"/>
      <c r="P201" s="32"/>
      <c r="Q201" s="31" t="s">
        <v>33</v>
      </c>
      <c r="R201" s="33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 ht="13.8">
      <c r="A202" s="10"/>
      <c r="B202" s="17"/>
      <c r="C202" s="19"/>
      <c r="D202" s="19"/>
      <c r="E202" s="19"/>
      <c r="F202" s="19"/>
      <c r="G202" s="19"/>
      <c r="H202" s="22"/>
      <c r="I202" s="28" t="s">
        <v>41</v>
      </c>
      <c r="J202" s="29"/>
      <c r="K202" s="24"/>
      <c r="L202" s="24"/>
      <c r="M202" s="35"/>
      <c r="N202" s="31"/>
      <c r="O202" s="31"/>
      <c r="P202" s="31"/>
      <c r="Q202" s="26"/>
      <c r="R202" s="27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 ht="13.8">
      <c r="A203" s="10">
        <v>23</v>
      </c>
      <c r="B203" s="17" t="s">
        <v>542</v>
      </c>
      <c r="C203" s="18" t="s">
        <v>23</v>
      </c>
      <c r="D203" s="19" t="s">
        <v>543</v>
      </c>
      <c r="E203" s="20" t="s">
        <v>544</v>
      </c>
      <c r="F203" s="19">
        <v>72040534</v>
      </c>
      <c r="G203" s="19" t="s">
        <v>545</v>
      </c>
      <c r="H203" s="22">
        <v>45371</v>
      </c>
      <c r="I203" s="28" t="s">
        <v>518</v>
      </c>
      <c r="J203" s="29"/>
      <c r="K203" s="24"/>
      <c r="L203" s="24"/>
      <c r="M203" s="35"/>
      <c r="N203" s="31"/>
      <c r="O203" s="31"/>
      <c r="P203" s="31"/>
      <c r="Q203" s="31"/>
      <c r="R203" s="33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 ht="13.8">
      <c r="A204" s="10"/>
      <c r="B204" s="17"/>
      <c r="C204" s="18" t="s">
        <v>27</v>
      </c>
      <c r="D204" s="19" t="s">
        <v>543</v>
      </c>
      <c r="E204" s="20" t="s">
        <v>544</v>
      </c>
      <c r="F204" s="19">
        <v>72040534</v>
      </c>
      <c r="G204" s="19" t="s">
        <v>546</v>
      </c>
      <c r="H204" s="22">
        <v>45972</v>
      </c>
      <c r="I204" s="28" t="s">
        <v>547</v>
      </c>
      <c r="J204" s="29">
        <v>357120000</v>
      </c>
      <c r="K204" s="51">
        <v>357120000</v>
      </c>
      <c r="L204" s="26" t="s">
        <v>30</v>
      </c>
      <c r="M204" s="30" t="s">
        <v>548</v>
      </c>
      <c r="N204" s="31" t="s">
        <v>549</v>
      </c>
      <c r="O204" s="36">
        <v>46023</v>
      </c>
      <c r="P204" s="36">
        <v>46387</v>
      </c>
      <c r="Q204" s="31" t="s">
        <v>33</v>
      </c>
      <c r="R204" s="33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ht="13.8">
      <c r="A205" s="10"/>
      <c r="B205" s="17"/>
      <c r="C205" s="18" t="s">
        <v>34</v>
      </c>
      <c r="D205" s="19" t="s">
        <v>334</v>
      </c>
      <c r="E205" s="20" t="s">
        <v>53</v>
      </c>
      <c r="F205" s="19" t="s">
        <v>54</v>
      </c>
      <c r="G205" s="19" t="s">
        <v>550</v>
      </c>
      <c r="H205" s="22">
        <v>45975</v>
      </c>
      <c r="I205" s="28" t="s">
        <v>551</v>
      </c>
      <c r="J205" s="29">
        <v>152000000</v>
      </c>
      <c r="K205" s="51">
        <v>151700000</v>
      </c>
      <c r="L205" s="26" t="s">
        <v>231</v>
      </c>
      <c r="M205" s="30" t="s">
        <v>552</v>
      </c>
      <c r="N205" s="31" t="s">
        <v>553</v>
      </c>
      <c r="O205" s="36">
        <v>46023</v>
      </c>
      <c r="P205" s="36">
        <v>46173</v>
      </c>
      <c r="Q205" s="31" t="s">
        <v>33</v>
      </c>
      <c r="R205" s="33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 ht="13.8">
      <c r="A206" s="10"/>
      <c r="B206" s="17"/>
      <c r="C206" s="18" t="s">
        <v>34</v>
      </c>
      <c r="D206" s="19" t="s">
        <v>334</v>
      </c>
      <c r="E206" s="20" t="s">
        <v>53</v>
      </c>
      <c r="F206" s="19" t="s">
        <v>54</v>
      </c>
      <c r="G206" s="19" t="s">
        <v>554</v>
      </c>
      <c r="H206" s="22">
        <v>45975</v>
      </c>
      <c r="I206" s="28" t="s">
        <v>555</v>
      </c>
      <c r="J206" s="29">
        <v>171850000</v>
      </c>
      <c r="K206" s="51">
        <v>171850000</v>
      </c>
      <c r="L206" s="26" t="s">
        <v>30</v>
      </c>
      <c r="M206" s="30" t="s">
        <v>556</v>
      </c>
      <c r="N206" s="31" t="s">
        <v>557</v>
      </c>
      <c r="O206" s="36">
        <v>46023</v>
      </c>
      <c r="P206" s="36">
        <v>46387</v>
      </c>
      <c r="Q206" s="31" t="s">
        <v>33</v>
      </c>
      <c r="R206" s="33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 ht="13.8">
      <c r="A207" s="10"/>
      <c r="B207" s="17"/>
      <c r="C207" s="18" t="s">
        <v>34</v>
      </c>
      <c r="D207" s="19" t="s">
        <v>334</v>
      </c>
      <c r="E207" s="20" t="s">
        <v>53</v>
      </c>
      <c r="F207" s="19" t="s">
        <v>54</v>
      </c>
      <c r="G207" s="19" t="s">
        <v>558</v>
      </c>
      <c r="H207" s="22">
        <v>45975</v>
      </c>
      <c r="I207" s="28" t="s">
        <v>559</v>
      </c>
      <c r="J207" s="29">
        <v>153600000</v>
      </c>
      <c r="K207" s="51">
        <v>153300000</v>
      </c>
      <c r="L207" s="26" t="s">
        <v>231</v>
      </c>
      <c r="M207" s="30" t="s">
        <v>560</v>
      </c>
      <c r="N207" s="31" t="s">
        <v>561</v>
      </c>
      <c r="O207" s="36">
        <v>46023</v>
      </c>
      <c r="P207" s="36">
        <v>46203</v>
      </c>
      <c r="Q207" s="31" t="s">
        <v>33</v>
      </c>
      <c r="R207" s="33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 ht="13.8">
      <c r="A208" s="10"/>
      <c r="B208" s="17"/>
      <c r="C208" s="18" t="s">
        <v>34</v>
      </c>
      <c r="D208" s="19" t="s">
        <v>334</v>
      </c>
      <c r="E208" s="20" t="s">
        <v>53</v>
      </c>
      <c r="F208" s="19" t="s">
        <v>54</v>
      </c>
      <c r="G208" s="19" t="s">
        <v>562</v>
      </c>
      <c r="H208" s="22">
        <v>45975</v>
      </c>
      <c r="I208" s="28" t="s">
        <v>563</v>
      </c>
      <c r="J208" s="29">
        <v>154958000</v>
      </c>
      <c r="K208" s="51">
        <v>154958000</v>
      </c>
      <c r="L208" s="26" t="s">
        <v>30</v>
      </c>
      <c r="M208" s="30" t="s">
        <v>564</v>
      </c>
      <c r="N208" s="31" t="s">
        <v>565</v>
      </c>
      <c r="O208" s="36">
        <v>46028</v>
      </c>
      <c r="P208" s="36">
        <v>46057</v>
      </c>
      <c r="Q208" s="31" t="s">
        <v>33</v>
      </c>
      <c r="R208" s="33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 ht="13.8">
      <c r="A209" s="10"/>
      <c r="B209" s="17"/>
      <c r="C209" s="18" t="s">
        <v>34</v>
      </c>
      <c r="D209" s="19" t="s">
        <v>334</v>
      </c>
      <c r="E209" s="20" t="s">
        <v>53</v>
      </c>
      <c r="F209" s="19" t="s">
        <v>54</v>
      </c>
      <c r="G209" s="19" t="s">
        <v>566</v>
      </c>
      <c r="H209" s="22">
        <v>45975</v>
      </c>
      <c r="I209" s="28" t="s">
        <v>567</v>
      </c>
      <c r="J209" s="29">
        <v>129600000</v>
      </c>
      <c r="K209" s="51">
        <v>129600000</v>
      </c>
      <c r="L209" s="26" t="s">
        <v>30</v>
      </c>
      <c r="M209" s="30" t="s">
        <v>568</v>
      </c>
      <c r="N209" s="31" t="s">
        <v>569</v>
      </c>
      <c r="O209" s="36">
        <v>46023</v>
      </c>
      <c r="P209" s="36">
        <v>46356</v>
      </c>
      <c r="Q209" s="31" t="s">
        <v>33</v>
      </c>
      <c r="R209" s="33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 ht="13.8">
      <c r="A210" s="10"/>
      <c r="B210" s="17"/>
      <c r="C210" s="18" t="s">
        <v>34</v>
      </c>
      <c r="D210" s="19" t="s">
        <v>334</v>
      </c>
      <c r="E210" s="20" t="s">
        <v>53</v>
      </c>
      <c r="F210" s="19" t="s">
        <v>54</v>
      </c>
      <c r="G210" s="19" t="s">
        <v>570</v>
      </c>
      <c r="H210" s="22">
        <v>45975</v>
      </c>
      <c r="I210" s="28" t="s">
        <v>571</v>
      </c>
      <c r="J210" s="29">
        <v>119935000</v>
      </c>
      <c r="K210" s="51">
        <v>119300000</v>
      </c>
      <c r="L210" s="26" t="s">
        <v>231</v>
      </c>
      <c r="M210" s="30" t="s">
        <v>552</v>
      </c>
      <c r="N210" s="31" t="s">
        <v>572</v>
      </c>
      <c r="O210" s="36">
        <v>46023</v>
      </c>
      <c r="P210" s="36">
        <v>46234</v>
      </c>
      <c r="Q210" s="31" t="s">
        <v>33</v>
      </c>
      <c r="R210" s="33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 ht="13.8">
      <c r="A211" s="10"/>
      <c r="B211" s="17"/>
      <c r="C211" s="18" t="s">
        <v>34</v>
      </c>
      <c r="D211" s="19" t="s">
        <v>334</v>
      </c>
      <c r="E211" s="20" t="s">
        <v>53</v>
      </c>
      <c r="F211" s="19" t="s">
        <v>54</v>
      </c>
      <c r="G211" s="19" t="s">
        <v>573</v>
      </c>
      <c r="H211" s="22">
        <v>45975</v>
      </c>
      <c r="I211" s="28" t="s">
        <v>574</v>
      </c>
      <c r="J211" s="29">
        <v>117379000</v>
      </c>
      <c r="K211" s="51">
        <v>117000000</v>
      </c>
      <c r="L211" s="26" t="s">
        <v>231</v>
      </c>
      <c r="M211" s="30" t="s">
        <v>560</v>
      </c>
      <c r="N211" s="31" t="s">
        <v>575</v>
      </c>
      <c r="O211" s="36">
        <v>46023</v>
      </c>
      <c r="P211" s="36">
        <v>46234</v>
      </c>
      <c r="Q211" s="31" t="s">
        <v>33</v>
      </c>
      <c r="R211" s="33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 ht="13.8">
      <c r="A212" s="10"/>
      <c r="B212" s="17"/>
      <c r="C212" s="18" t="s">
        <v>34</v>
      </c>
      <c r="D212" s="19" t="s">
        <v>334</v>
      </c>
      <c r="E212" s="20" t="s">
        <v>53</v>
      </c>
      <c r="F212" s="19" t="s">
        <v>54</v>
      </c>
      <c r="G212" s="19" t="s">
        <v>576</v>
      </c>
      <c r="H212" s="22">
        <v>45975</v>
      </c>
      <c r="I212" s="28" t="s">
        <v>577</v>
      </c>
      <c r="J212" s="29">
        <v>31400000</v>
      </c>
      <c r="K212" s="51">
        <v>31300000</v>
      </c>
      <c r="L212" s="26" t="s">
        <v>231</v>
      </c>
      <c r="M212" s="30" t="s">
        <v>578</v>
      </c>
      <c r="N212" s="31" t="s">
        <v>579</v>
      </c>
      <c r="O212" s="36">
        <v>46080</v>
      </c>
      <c r="P212" s="36">
        <v>46199</v>
      </c>
      <c r="Q212" s="31" t="s">
        <v>33</v>
      </c>
      <c r="R212" s="33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 ht="13.8">
      <c r="A213" s="10"/>
      <c r="B213" s="17"/>
      <c r="C213" s="18" t="s">
        <v>34</v>
      </c>
      <c r="D213" s="19" t="s">
        <v>334</v>
      </c>
      <c r="E213" s="20" t="s">
        <v>53</v>
      </c>
      <c r="F213" s="19" t="s">
        <v>54</v>
      </c>
      <c r="G213" s="19" t="s">
        <v>580</v>
      </c>
      <c r="H213" s="22">
        <v>45975</v>
      </c>
      <c r="I213" s="28" t="s">
        <v>581</v>
      </c>
      <c r="J213" s="29">
        <v>49200000</v>
      </c>
      <c r="K213" s="51">
        <v>49100000</v>
      </c>
      <c r="L213" s="26" t="s">
        <v>231</v>
      </c>
      <c r="M213" s="30" t="s">
        <v>582</v>
      </c>
      <c r="N213" s="31" t="s">
        <v>583</v>
      </c>
      <c r="O213" s="36">
        <v>46023</v>
      </c>
      <c r="P213" s="36">
        <v>46052</v>
      </c>
      <c r="Q213" s="31" t="s">
        <v>33</v>
      </c>
      <c r="R213" s="33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 ht="13.8">
      <c r="A214" s="10"/>
      <c r="B214" s="17"/>
      <c r="C214" s="18" t="s">
        <v>299</v>
      </c>
      <c r="D214" s="19" t="s">
        <v>334</v>
      </c>
      <c r="E214" s="20" t="s">
        <v>53</v>
      </c>
      <c r="F214" s="19" t="s">
        <v>54</v>
      </c>
      <c r="G214" s="19" t="s">
        <v>37</v>
      </c>
      <c r="H214" s="22">
        <v>45999</v>
      </c>
      <c r="I214" s="28" t="s">
        <v>584</v>
      </c>
      <c r="J214" s="29">
        <v>34114000</v>
      </c>
      <c r="K214" s="51">
        <v>927458000</v>
      </c>
      <c r="L214" s="26" t="s">
        <v>302</v>
      </c>
      <c r="M214" s="30" t="s">
        <v>585</v>
      </c>
      <c r="N214" s="31" t="s">
        <v>586</v>
      </c>
      <c r="O214" s="36">
        <v>46080</v>
      </c>
      <c r="P214" s="36">
        <v>46199</v>
      </c>
      <c r="Q214" s="31" t="s">
        <v>33</v>
      </c>
      <c r="R214" s="33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 ht="13.8">
      <c r="A215" s="10"/>
      <c r="B215" s="17"/>
      <c r="C215" s="18" t="s">
        <v>299</v>
      </c>
      <c r="D215" s="19" t="s">
        <v>587</v>
      </c>
      <c r="E215" s="20" t="s">
        <v>124</v>
      </c>
      <c r="F215" s="19">
        <v>87100049</v>
      </c>
      <c r="G215" s="19" t="s">
        <v>37</v>
      </c>
      <c r="H215" s="22">
        <v>45999</v>
      </c>
      <c r="I215" s="28" t="s">
        <v>584</v>
      </c>
      <c r="J215" s="29">
        <v>34114000</v>
      </c>
      <c r="K215" s="51">
        <v>927458000</v>
      </c>
      <c r="L215" s="26" t="s">
        <v>302</v>
      </c>
      <c r="M215" s="30" t="s">
        <v>585</v>
      </c>
      <c r="N215" s="31" t="s">
        <v>586</v>
      </c>
      <c r="O215" s="36">
        <v>46080</v>
      </c>
      <c r="P215" s="36">
        <v>46080</v>
      </c>
      <c r="Q215" s="31" t="s">
        <v>33</v>
      </c>
      <c r="R215" s="33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 ht="13.8">
      <c r="A216" s="10"/>
      <c r="B216" s="17"/>
      <c r="C216" s="18" t="s">
        <v>299</v>
      </c>
      <c r="D216" s="19" t="s">
        <v>35</v>
      </c>
      <c r="E216" s="20" t="s">
        <v>36</v>
      </c>
      <c r="F216" s="19">
        <v>97050765</v>
      </c>
      <c r="G216" s="19" t="s">
        <v>37</v>
      </c>
      <c r="H216" s="22">
        <v>45999</v>
      </c>
      <c r="I216" s="28" t="s">
        <v>584</v>
      </c>
      <c r="J216" s="29">
        <v>34114000</v>
      </c>
      <c r="K216" s="51">
        <v>927458000</v>
      </c>
      <c r="L216" s="26" t="s">
        <v>302</v>
      </c>
      <c r="M216" s="30" t="s">
        <v>585</v>
      </c>
      <c r="N216" s="31" t="s">
        <v>586</v>
      </c>
      <c r="O216" s="36">
        <v>46080</v>
      </c>
      <c r="P216" s="36">
        <v>46080</v>
      </c>
      <c r="Q216" s="31" t="s">
        <v>33</v>
      </c>
      <c r="R216" s="33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 ht="13.8">
      <c r="A217" s="10"/>
      <c r="B217" s="17"/>
      <c r="C217" s="21"/>
      <c r="D217" s="21"/>
      <c r="E217" s="21"/>
      <c r="F217" s="21"/>
      <c r="G217" s="21"/>
      <c r="H217" s="22"/>
      <c r="I217" s="28" t="s">
        <v>41</v>
      </c>
      <c r="J217" s="29"/>
      <c r="K217" s="24"/>
      <c r="L217" s="24"/>
      <c r="M217" s="35"/>
      <c r="N217" s="31"/>
      <c r="O217" s="31"/>
      <c r="P217" s="31"/>
      <c r="Q217" s="24"/>
      <c r="R217" s="37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 ht="13.8">
      <c r="A218" s="10">
        <v>24</v>
      </c>
      <c r="B218" s="17" t="s">
        <v>588</v>
      </c>
      <c r="C218" s="18" t="s">
        <v>23</v>
      </c>
      <c r="D218" s="79" t="s">
        <v>589</v>
      </c>
      <c r="E218" s="20" t="s">
        <v>97</v>
      </c>
      <c r="F218" s="80" t="s">
        <v>590</v>
      </c>
      <c r="G218" s="81">
        <v>45946</v>
      </c>
      <c r="H218" s="22"/>
      <c r="I218" s="28" t="s">
        <v>518</v>
      </c>
      <c r="J218" s="29"/>
      <c r="K218" s="24"/>
      <c r="L218" s="24"/>
      <c r="M218" s="35"/>
      <c r="N218" s="31"/>
      <c r="O218" s="31"/>
      <c r="P218" s="31"/>
      <c r="Q218" s="31"/>
      <c r="R218" s="33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 ht="13.8">
      <c r="A219" s="10"/>
      <c r="B219" s="17"/>
      <c r="C219" s="18" t="s">
        <v>27</v>
      </c>
      <c r="D219" s="82" t="s">
        <v>591</v>
      </c>
      <c r="E219" s="20" t="s">
        <v>53</v>
      </c>
      <c r="F219" s="80" t="s">
        <v>54</v>
      </c>
      <c r="G219" s="18" t="s">
        <v>592</v>
      </c>
      <c r="H219" s="22">
        <v>46014</v>
      </c>
      <c r="I219" s="71" t="s">
        <v>593</v>
      </c>
      <c r="J219" s="29">
        <v>690000000</v>
      </c>
      <c r="K219" s="51">
        <v>690000000</v>
      </c>
      <c r="L219" s="26" t="s">
        <v>30</v>
      </c>
      <c r="M219" s="30" t="s">
        <v>594</v>
      </c>
      <c r="N219" s="31" t="s">
        <v>595</v>
      </c>
      <c r="O219" s="32"/>
      <c r="P219" s="32"/>
      <c r="Q219" s="31" t="s">
        <v>33</v>
      </c>
      <c r="R219" s="33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 ht="13.8">
      <c r="A220" s="10"/>
      <c r="B220" s="17"/>
      <c r="C220" s="18" t="s">
        <v>27</v>
      </c>
      <c r="D220" s="82" t="s">
        <v>591</v>
      </c>
      <c r="E220" s="20" t="s">
        <v>53</v>
      </c>
      <c r="F220" s="80" t="s">
        <v>54</v>
      </c>
      <c r="G220" s="18" t="s">
        <v>592</v>
      </c>
      <c r="H220" s="22">
        <v>46014</v>
      </c>
      <c r="I220" s="71" t="s">
        <v>596</v>
      </c>
      <c r="J220" s="29">
        <v>715400000</v>
      </c>
      <c r="K220" s="51">
        <v>489100000</v>
      </c>
      <c r="L220" s="26" t="s">
        <v>30</v>
      </c>
      <c r="M220" s="30" t="s">
        <v>597</v>
      </c>
      <c r="N220" s="31" t="s">
        <v>598</v>
      </c>
      <c r="O220" s="32"/>
      <c r="P220" s="32"/>
      <c r="Q220" s="31" t="s">
        <v>33</v>
      </c>
      <c r="R220" s="33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 ht="27.6">
      <c r="A221" s="10"/>
      <c r="B221" s="17"/>
      <c r="C221" s="18" t="s">
        <v>27</v>
      </c>
      <c r="D221" s="82" t="s">
        <v>591</v>
      </c>
      <c r="E221" s="20" t="s">
        <v>53</v>
      </c>
      <c r="F221" s="80" t="s">
        <v>54</v>
      </c>
      <c r="G221" s="18" t="s">
        <v>592</v>
      </c>
      <c r="H221" s="22">
        <v>46014</v>
      </c>
      <c r="I221" s="71" t="s">
        <v>599</v>
      </c>
      <c r="J221" s="29">
        <v>284875000</v>
      </c>
      <c r="K221" s="51">
        <v>284867625</v>
      </c>
      <c r="L221" s="26" t="s">
        <v>30</v>
      </c>
      <c r="M221" s="30" t="s">
        <v>600</v>
      </c>
      <c r="N221" s="31" t="s">
        <v>601</v>
      </c>
      <c r="O221" s="32"/>
      <c r="P221" s="32"/>
      <c r="Q221" s="31" t="s">
        <v>33</v>
      </c>
      <c r="R221" s="33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 ht="27.6">
      <c r="A222" s="10"/>
      <c r="B222" s="17"/>
      <c r="C222" s="18" t="s">
        <v>27</v>
      </c>
      <c r="D222" s="82" t="s">
        <v>591</v>
      </c>
      <c r="E222" s="20" t="s">
        <v>53</v>
      </c>
      <c r="F222" s="80" t="s">
        <v>54</v>
      </c>
      <c r="G222" s="18" t="s">
        <v>592</v>
      </c>
      <c r="H222" s="22">
        <v>46014</v>
      </c>
      <c r="I222" s="71" t="s">
        <v>602</v>
      </c>
      <c r="J222" s="29">
        <v>2643888000</v>
      </c>
      <c r="K222" s="83" t="s">
        <v>603</v>
      </c>
      <c r="L222" s="26" t="s">
        <v>30</v>
      </c>
      <c r="M222" s="30" t="s">
        <v>604</v>
      </c>
      <c r="N222" s="31" t="s">
        <v>605</v>
      </c>
      <c r="O222" s="32"/>
      <c r="P222" s="32"/>
      <c r="Q222" s="31" t="s">
        <v>33</v>
      </c>
      <c r="R222" s="33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 ht="27.6">
      <c r="A223" s="10"/>
      <c r="B223" s="17"/>
      <c r="C223" s="18" t="s">
        <v>27</v>
      </c>
      <c r="D223" s="57" t="s">
        <v>591</v>
      </c>
      <c r="E223" s="20" t="s">
        <v>53</v>
      </c>
      <c r="F223" s="30" t="s">
        <v>54</v>
      </c>
      <c r="G223" s="18" t="s">
        <v>592</v>
      </c>
      <c r="H223" s="22">
        <v>46014</v>
      </c>
      <c r="I223" s="71" t="s">
        <v>606</v>
      </c>
      <c r="J223" s="29">
        <v>2643888000</v>
      </c>
      <c r="K223" s="84">
        <v>458985000</v>
      </c>
      <c r="L223" s="26" t="s">
        <v>30</v>
      </c>
      <c r="M223" s="30" t="s">
        <v>607</v>
      </c>
      <c r="N223" s="31" t="s">
        <v>608</v>
      </c>
      <c r="O223" s="32"/>
      <c r="P223" s="32"/>
      <c r="Q223" s="31" t="s">
        <v>33</v>
      </c>
      <c r="R223" s="85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 ht="27.6">
      <c r="A224" s="10"/>
      <c r="B224" s="17"/>
      <c r="C224" s="18" t="s">
        <v>34</v>
      </c>
      <c r="D224" s="19" t="s">
        <v>609</v>
      </c>
      <c r="E224" s="20" t="s">
        <v>53</v>
      </c>
      <c r="F224" s="19" t="s">
        <v>610</v>
      </c>
      <c r="G224" s="18" t="s">
        <v>611</v>
      </c>
      <c r="H224" s="22">
        <v>46021</v>
      </c>
      <c r="I224" s="71" t="s">
        <v>612</v>
      </c>
      <c r="J224" s="29">
        <v>97820000</v>
      </c>
      <c r="K224" s="51">
        <v>97820000</v>
      </c>
      <c r="L224" s="26" t="s">
        <v>30</v>
      </c>
      <c r="M224" s="30" t="s">
        <v>597</v>
      </c>
      <c r="N224" s="31" t="s">
        <v>613</v>
      </c>
      <c r="O224" s="32"/>
      <c r="P224" s="32"/>
      <c r="Q224" s="31" t="s">
        <v>33</v>
      </c>
      <c r="R224" s="33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 ht="13.8">
      <c r="A225" s="10"/>
      <c r="B225" s="17"/>
      <c r="C225" s="18" t="s">
        <v>34</v>
      </c>
      <c r="D225" s="19" t="s">
        <v>609</v>
      </c>
      <c r="E225" s="20" t="s">
        <v>53</v>
      </c>
      <c r="F225" s="19" t="s">
        <v>610</v>
      </c>
      <c r="G225" s="18" t="s">
        <v>611</v>
      </c>
      <c r="H225" s="22">
        <v>46021</v>
      </c>
      <c r="I225" s="71" t="s">
        <v>614</v>
      </c>
      <c r="J225" s="29">
        <v>125286800</v>
      </c>
      <c r="K225" s="51">
        <v>124800000</v>
      </c>
      <c r="L225" s="26" t="s">
        <v>30</v>
      </c>
      <c r="M225" s="30" t="s">
        <v>594</v>
      </c>
      <c r="N225" s="31" t="s">
        <v>615</v>
      </c>
      <c r="O225" s="32"/>
      <c r="P225" s="32"/>
      <c r="Q225" s="31" t="s">
        <v>33</v>
      </c>
      <c r="R225" s="33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 ht="27.6">
      <c r="A226" s="10"/>
      <c r="B226" s="17"/>
      <c r="C226" s="18" t="s">
        <v>34</v>
      </c>
      <c r="D226" s="19" t="s">
        <v>609</v>
      </c>
      <c r="E226" s="20" t="s">
        <v>53</v>
      </c>
      <c r="F226" s="19" t="s">
        <v>610</v>
      </c>
      <c r="G226" s="18" t="s">
        <v>611</v>
      </c>
      <c r="H226" s="22">
        <v>46021</v>
      </c>
      <c r="I226" s="71" t="s">
        <v>616</v>
      </c>
      <c r="J226" s="29">
        <v>100200000</v>
      </c>
      <c r="K226" s="51">
        <v>100199000</v>
      </c>
      <c r="L226" s="26" t="s">
        <v>30</v>
      </c>
      <c r="M226" s="30" t="s">
        <v>617</v>
      </c>
      <c r="N226" s="31" t="s">
        <v>618</v>
      </c>
      <c r="O226" s="32"/>
      <c r="P226" s="32"/>
      <c r="Q226" s="31" t="s">
        <v>33</v>
      </c>
      <c r="R226" s="33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 ht="13.8">
      <c r="A227" s="10"/>
      <c r="B227" s="17"/>
      <c r="C227" s="18" t="s">
        <v>34</v>
      </c>
      <c r="D227" s="19" t="s">
        <v>609</v>
      </c>
      <c r="E227" s="20" t="s">
        <v>53</v>
      </c>
      <c r="F227" s="19" t="s">
        <v>610</v>
      </c>
      <c r="G227" s="18" t="s">
        <v>611</v>
      </c>
      <c r="H227" s="22">
        <v>46021</v>
      </c>
      <c r="I227" s="71" t="s">
        <v>619</v>
      </c>
      <c r="J227" s="29">
        <v>7589466000</v>
      </c>
      <c r="K227" s="51">
        <v>4729377</v>
      </c>
      <c r="L227" s="26" t="s">
        <v>30</v>
      </c>
      <c r="M227" s="30" t="s">
        <v>620</v>
      </c>
      <c r="N227" s="31" t="s">
        <v>621</v>
      </c>
      <c r="O227" s="32"/>
      <c r="P227" s="32"/>
      <c r="Q227" s="31" t="s">
        <v>33</v>
      </c>
      <c r="R227" s="33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 ht="13.8">
      <c r="A228" s="10"/>
      <c r="B228" s="17"/>
      <c r="C228" s="18" t="s">
        <v>34</v>
      </c>
      <c r="D228" s="19" t="s">
        <v>609</v>
      </c>
      <c r="E228" s="20" t="s">
        <v>53</v>
      </c>
      <c r="F228" s="19" t="s">
        <v>622</v>
      </c>
      <c r="G228" s="18" t="s">
        <v>611</v>
      </c>
      <c r="H228" s="22">
        <v>46021</v>
      </c>
      <c r="I228" s="71" t="s">
        <v>619</v>
      </c>
      <c r="J228" s="29">
        <v>7589466000</v>
      </c>
      <c r="K228" s="51">
        <v>17308230</v>
      </c>
      <c r="L228" s="26" t="s">
        <v>30</v>
      </c>
      <c r="M228" s="30" t="s">
        <v>623</v>
      </c>
      <c r="N228" s="31" t="s">
        <v>624</v>
      </c>
      <c r="O228" s="32"/>
      <c r="P228" s="32"/>
      <c r="Q228" s="31" t="s">
        <v>33</v>
      </c>
      <c r="R228" s="33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 ht="13.8">
      <c r="A229" s="10"/>
      <c r="B229" s="17"/>
      <c r="C229" s="18" t="s">
        <v>34</v>
      </c>
      <c r="D229" s="19" t="s">
        <v>609</v>
      </c>
      <c r="E229" s="20" t="s">
        <v>53</v>
      </c>
      <c r="F229" s="19" t="s">
        <v>625</v>
      </c>
      <c r="G229" s="18" t="s">
        <v>611</v>
      </c>
      <c r="H229" s="22">
        <v>46021</v>
      </c>
      <c r="I229" s="71" t="s">
        <v>619</v>
      </c>
      <c r="J229" s="29">
        <v>7589466000</v>
      </c>
      <c r="K229" s="51">
        <v>3924845</v>
      </c>
      <c r="L229" s="26" t="s">
        <v>30</v>
      </c>
      <c r="M229" s="30" t="s">
        <v>626</v>
      </c>
      <c r="N229" s="31" t="s">
        <v>627</v>
      </c>
      <c r="O229" s="32"/>
      <c r="P229" s="32"/>
      <c r="Q229" s="31" t="s">
        <v>33</v>
      </c>
      <c r="R229" s="33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 ht="13.8">
      <c r="A230" s="10"/>
      <c r="B230" s="17"/>
      <c r="C230" s="18" t="s">
        <v>34</v>
      </c>
      <c r="D230" s="19" t="s">
        <v>609</v>
      </c>
      <c r="E230" s="20" t="s">
        <v>53</v>
      </c>
      <c r="F230" s="19" t="s">
        <v>628</v>
      </c>
      <c r="G230" s="18" t="s">
        <v>611</v>
      </c>
      <c r="H230" s="22">
        <v>46021</v>
      </c>
      <c r="I230" s="71" t="s">
        <v>619</v>
      </c>
      <c r="J230" s="29">
        <v>7589466000</v>
      </c>
      <c r="K230" s="51">
        <v>13547106</v>
      </c>
      <c r="L230" s="26" t="s">
        <v>30</v>
      </c>
      <c r="M230" s="30" t="s">
        <v>629</v>
      </c>
      <c r="N230" s="31" t="s">
        <v>630</v>
      </c>
      <c r="O230" s="32"/>
      <c r="P230" s="32"/>
      <c r="Q230" s="31" t="s">
        <v>33</v>
      </c>
      <c r="R230" s="33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 ht="13.8">
      <c r="A231" s="10"/>
      <c r="B231" s="17"/>
      <c r="C231" s="18" t="s">
        <v>34</v>
      </c>
      <c r="D231" s="19" t="s">
        <v>609</v>
      </c>
      <c r="E231" s="20" t="s">
        <v>53</v>
      </c>
      <c r="F231" s="19" t="s">
        <v>631</v>
      </c>
      <c r="G231" s="18" t="s">
        <v>611</v>
      </c>
      <c r="H231" s="22">
        <v>46021</v>
      </c>
      <c r="I231" s="71" t="s">
        <v>619</v>
      </c>
      <c r="J231" s="29">
        <v>7589466000</v>
      </c>
      <c r="K231" s="51">
        <v>8473496</v>
      </c>
      <c r="L231" s="26" t="s">
        <v>30</v>
      </c>
      <c r="M231" s="30" t="s">
        <v>623</v>
      </c>
      <c r="N231" s="31" t="s">
        <v>632</v>
      </c>
      <c r="O231" s="32"/>
      <c r="P231" s="32"/>
      <c r="Q231" s="31" t="s">
        <v>33</v>
      </c>
      <c r="R231" s="33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 ht="13.8">
      <c r="A232" s="10"/>
      <c r="B232" s="17"/>
      <c r="C232" s="18" t="s">
        <v>34</v>
      </c>
      <c r="D232" s="19" t="s">
        <v>609</v>
      </c>
      <c r="E232" s="20" t="s">
        <v>53</v>
      </c>
      <c r="F232" s="19" t="s">
        <v>633</v>
      </c>
      <c r="G232" s="18" t="s">
        <v>611</v>
      </c>
      <c r="H232" s="22">
        <v>46021</v>
      </c>
      <c r="I232" s="71" t="s">
        <v>619</v>
      </c>
      <c r="J232" s="29">
        <v>7589466000</v>
      </c>
      <c r="K232" s="51">
        <v>63136000</v>
      </c>
      <c r="L232" s="26" t="s">
        <v>30</v>
      </c>
      <c r="M232" s="30" t="s">
        <v>623</v>
      </c>
      <c r="N232" s="31" t="s">
        <v>634</v>
      </c>
      <c r="O232" s="32"/>
      <c r="P232" s="32"/>
      <c r="Q232" s="31" t="s">
        <v>33</v>
      </c>
      <c r="R232" s="33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 ht="13.8">
      <c r="A233" s="10"/>
      <c r="B233" s="17"/>
      <c r="C233" s="18" t="s">
        <v>34</v>
      </c>
      <c r="D233" s="19" t="s">
        <v>609</v>
      </c>
      <c r="E233" s="20" t="s">
        <v>53</v>
      </c>
      <c r="F233" s="19" t="s">
        <v>635</v>
      </c>
      <c r="G233" s="18" t="s">
        <v>611</v>
      </c>
      <c r="H233" s="22">
        <v>46021</v>
      </c>
      <c r="I233" s="71" t="s">
        <v>619</v>
      </c>
      <c r="J233" s="29">
        <v>7589466000</v>
      </c>
      <c r="K233" s="51">
        <v>3767818</v>
      </c>
      <c r="L233" s="26" t="s">
        <v>30</v>
      </c>
      <c r="M233" s="30" t="s">
        <v>623</v>
      </c>
      <c r="N233" s="31" t="s">
        <v>636</v>
      </c>
      <c r="O233" s="32"/>
      <c r="P233" s="32"/>
      <c r="Q233" s="31" t="s">
        <v>33</v>
      </c>
      <c r="R233" s="33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 ht="13.8">
      <c r="A234" s="10"/>
      <c r="B234" s="17"/>
      <c r="C234" s="18" t="s">
        <v>34</v>
      </c>
      <c r="D234" s="19" t="s">
        <v>609</v>
      </c>
      <c r="E234" s="20" t="s">
        <v>53</v>
      </c>
      <c r="F234" s="19" t="s">
        <v>637</v>
      </c>
      <c r="G234" s="18" t="s">
        <v>611</v>
      </c>
      <c r="H234" s="22">
        <v>46021</v>
      </c>
      <c r="I234" s="71" t="s">
        <v>619</v>
      </c>
      <c r="J234" s="29">
        <v>7589466000</v>
      </c>
      <c r="K234" s="51">
        <v>2955042</v>
      </c>
      <c r="L234" s="26" t="s">
        <v>30</v>
      </c>
      <c r="M234" s="30" t="s">
        <v>623</v>
      </c>
      <c r="N234" s="31" t="s">
        <v>638</v>
      </c>
      <c r="O234" s="32"/>
      <c r="P234" s="32"/>
      <c r="Q234" s="31" t="s">
        <v>33</v>
      </c>
      <c r="R234" s="33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 ht="13.8">
      <c r="A235" s="10"/>
      <c r="B235" s="17"/>
      <c r="C235" s="18" t="s">
        <v>34</v>
      </c>
      <c r="D235" s="19" t="s">
        <v>609</v>
      </c>
      <c r="E235" s="20" t="s">
        <v>53</v>
      </c>
      <c r="F235" s="19" t="s">
        <v>639</v>
      </c>
      <c r="G235" s="18" t="s">
        <v>611</v>
      </c>
      <c r="H235" s="22">
        <v>46021</v>
      </c>
      <c r="I235" s="71" t="s">
        <v>619</v>
      </c>
      <c r="J235" s="29">
        <v>7589466000</v>
      </c>
      <c r="K235" s="51">
        <v>32155243</v>
      </c>
      <c r="L235" s="26" t="s">
        <v>30</v>
      </c>
      <c r="M235" s="30" t="s">
        <v>640</v>
      </c>
      <c r="N235" s="31" t="s">
        <v>641</v>
      </c>
      <c r="O235" s="32"/>
      <c r="P235" s="32"/>
      <c r="Q235" s="31" t="s">
        <v>33</v>
      </c>
      <c r="R235" s="33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 ht="13.8">
      <c r="A236" s="10"/>
      <c r="B236" s="17"/>
      <c r="C236" s="18" t="s">
        <v>34</v>
      </c>
      <c r="D236" s="19" t="s">
        <v>609</v>
      </c>
      <c r="E236" s="20" t="s">
        <v>53</v>
      </c>
      <c r="F236" s="19" t="s">
        <v>642</v>
      </c>
      <c r="G236" s="18" t="s">
        <v>611</v>
      </c>
      <c r="H236" s="22">
        <v>46021</v>
      </c>
      <c r="I236" s="71" t="s">
        <v>619</v>
      </c>
      <c r="J236" s="29">
        <v>7589466000</v>
      </c>
      <c r="K236" s="51">
        <v>5240310</v>
      </c>
      <c r="L236" s="26" t="s">
        <v>30</v>
      </c>
      <c r="M236" s="30" t="s">
        <v>640</v>
      </c>
      <c r="N236" s="31" t="s">
        <v>643</v>
      </c>
      <c r="O236" s="32"/>
      <c r="P236" s="32"/>
      <c r="Q236" s="31" t="s">
        <v>33</v>
      </c>
      <c r="R236" s="33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 ht="13.8">
      <c r="A237" s="10"/>
      <c r="B237" s="17"/>
      <c r="C237" s="18" t="s">
        <v>34</v>
      </c>
      <c r="D237" s="19" t="s">
        <v>609</v>
      </c>
      <c r="E237" s="20" t="s">
        <v>53</v>
      </c>
      <c r="F237" s="19" t="s">
        <v>644</v>
      </c>
      <c r="G237" s="18" t="s">
        <v>611</v>
      </c>
      <c r="H237" s="22">
        <v>46021</v>
      </c>
      <c r="I237" s="71" t="s">
        <v>619</v>
      </c>
      <c r="J237" s="29">
        <v>7589466000</v>
      </c>
      <c r="K237" s="51">
        <v>4515702</v>
      </c>
      <c r="L237" s="26" t="s">
        <v>30</v>
      </c>
      <c r="M237" s="30" t="s">
        <v>645</v>
      </c>
      <c r="N237" s="31" t="s">
        <v>646</v>
      </c>
      <c r="O237" s="32"/>
      <c r="P237" s="32"/>
      <c r="Q237" s="31" t="s">
        <v>33</v>
      </c>
      <c r="R237" s="33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 ht="13.8">
      <c r="A238" s="10"/>
      <c r="B238" s="17"/>
      <c r="C238" s="18" t="s">
        <v>34</v>
      </c>
      <c r="D238" s="19" t="s">
        <v>609</v>
      </c>
      <c r="E238" s="20" t="s">
        <v>53</v>
      </c>
      <c r="F238" s="19" t="s">
        <v>647</v>
      </c>
      <c r="G238" s="18" t="s">
        <v>611</v>
      </c>
      <c r="H238" s="22">
        <v>46021</v>
      </c>
      <c r="I238" s="71" t="s">
        <v>619</v>
      </c>
      <c r="J238" s="29">
        <v>7589466000</v>
      </c>
      <c r="K238" s="51">
        <v>13467852</v>
      </c>
      <c r="L238" s="26" t="s">
        <v>30</v>
      </c>
      <c r="M238" s="30" t="s">
        <v>645</v>
      </c>
      <c r="N238" s="31" t="s">
        <v>648</v>
      </c>
      <c r="O238" s="32"/>
      <c r="P238" s="32"/>
      <c r="Q238" s="31" t="s">
        <v>33</v>
      </c>
      <c r="R238" s="33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 ht="13.8">
      <c r="A239" s="10"/>
      <c r="B239" s="17"/>
      <c r="C239" s="18" t="s">
        <v>34</v>
      </c>
      <c r="D239" s="19" t="s">
        <v>609</v>
      </c>
      <c r="E239" s="20" t="s">
        <v>53</v>
      </c>
      <c r="F239" s="19" t="s">
        <v>649</v>
      </c>
      <c r="G239" s="18" t="s">
        <v>611</v>
      </c>
      <c r="H239" s="22">
        <v>46021</v>
      </c>
      <c r="I239" s="71" t="s">
        <v>619</v>
      </c>
      <c r="J239" s="29">
        <v>7589466000</v>
      </c>
      <c r="K239" s="51">
        <v>2107113</v>
      </c>
      <c r="L239" s="26" t="s">
        <v>30</v>
      </c>
      <c r="M239" s="30" t="s">
        <v>645</v>
      </c>
      <c r="N239" s="31" t="s">
        <v>650</v>
      </c>
      <c r="O239" s="32"/>
      <c r="P239" s="32"/>
      <c r="Q239" s="31" t="s">
        <v>33</v>
      </c>
      <c r="R239" s="33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 ht="13.8">
      <c r="A240" s="10"/>
      <c r="B240" s="17"/>
      <c r="C240" s="18" t="s">
        <v>34</v>
      </c>
      <c r="D240" s="19" t="s">
        <v>609</v>
      </c>
      <c r="E240" s="20" t="s">
        <v>53</v>
      </c>
      <c r="F240" s="19" t="s">
        <v>651</v>
      </c>
      <c r="G240" s="18" t="s">
        <v>611</v>
      </c>
      <c r="H240" s="22">
        <v>46021</v>
      </c>
      <c r="I240" s="71" t="s">
        <v>619</v>
      </c>
      <c r="J240" s="29">
        <v>7589466000</v>
      </c>
      <c r="K240" s="51">
        <v>7754460</v>
      </c>
      <c r="L240" s="26" t="s">
        <v>30</v>
      </c>
      <c r="M240" s="30" t="s">
        <v>645</v>
      </c>
      <c r="N240" s="31" t="s">
        <v>652</v>
      </c>
      <c r="O240" s="32"/>
      <c r="P240" s="32"/>
      <c r="Q240" s="31" t="s">
        <v>33</v>
      </c>
      <c r="R240" s="33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 ht="13.8">
      <c r="A241" s="10"/>
      <c r="B241" s="17"/>
      <c r="C241" s="18" t="s">
        <v>34</v>
      </c>
      <c r="D241" s="19" t="s">
        <v>609</v>
      </c>
      <c r="E241" s="20" t="s">
        <v>53</v>
      </c>
      <c r="F241" s="19" t="s">
        <v>653</v>
      </c>
      <c r="G241" s="18" t="s">
        <v>611</v>
      </c>
      <c r="H241" s="22">
        <v>46021</v>
      </c>
      <c r="I241" s="71" t="s">
        <v>619</v>
      </c>
      <c r="J241" s="29">
        <v>7589466000</v>
      </c>
      <c r="K241" s="51">
        <v>1440104</v>
      </c>
      <c r="L241" s="26" t="s">
        <v>30</v>
      </c>
      <c r="M241" s="30" t="s">
        <v>645</v>
      </c>
      <c r="N241" s="31" t="s">
        <v>654</v>
      </c>
      <c r="O241" s="32"/>
      <c r="P241" s="32"/>
      <c r="Q241" s="31" t="s">
        <v>33</v>
      </c>
      <c r="R241" s="33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 ht="13.8">
      <c r="A242" s="10"/>
      <c r="B242" s="17"/>
      <c r="C242" s="18" t="s">
        <v>34</v>
      </c>
      <c r="D242" s="19" t="s">
        <v>609</v>
      </c>
      <c r="E242" s="20" t="s">
        <v>53</v>
      </c>
      <c r="F242" s="19" t="s">
        <v>655</v>
      </c>
      <c r="G242" s="18" t="s">
        <v>611</v>
      </c>
      <c r="H242" s="22">
        <v>46021</v>
      </c>
      <c r="I242" s="71" t="s">
        <v>619</v>
      </c>
      <c r="J242" s="29">
        <v>7589466000</v>
      </c>
      <c r="K242" s="51">
        <v>574425</v>
      </c>
      <c r="L242" s="26" t="s">
        <v>30</v>
      </c>
      <c r="M242" s="30" t="s">
        <v>656</v>
      </c>
      <c r="N242" s="31" t="s">
        <v>657</v>
      </c>
      <c r="O242" s="32"/>
      <c r="P242" s="32"/>
      <c r="Q242" s="31" t="s">
        <v>33</v>
      </c>
      <c r="R242" s="33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 ht="13.8">
      <c r="A243" s="10"/>
      <c r="B243" s="17"/>
      <c r="C243" s="18" t="s">
        <v>34</v>
      </c>
      <c r="D243" s="19" t="s">
        <v>609</v>
      </c>
      <c r="E243" s="20" t="s">
        <v>53</v>
      </c>
      <c r="F243" s="19" t="s">
        <v>658</v>
      </c>
      <c r="G243" s="18" t="s">
        <v>611</v>
      </c>
      <c r="H243" s="22">
        <v>46021</v>
      </c>
      <c r="I243" s="71" t="s">
        <v>619</v>
      </c>
      <c r="J243" s="29">
        <v>7589466000</v>
      </c>
      <c r="K243" s="51">
        <v>8389125</v>
      </c>
      <c r="L243" s="26" t="s">
        <v>30</v>
      </c>
      <c r="M243" s="30" t="s">
        <v>626</v>
      </c>
      <c r="N243" s="31" t="s">
        <v>659</v>
      </c>
      <c r="O243" s="32"/>
      <c r="P243" s="32"/>
      <c r="Q243" s="31" t="s">
        <v>33</v>
      </c>
      <c r="R243" s="33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 ht="13.8">
      <c r="A244" s="10"/>
      <c r="B244" s="17"/>
      <c r="C244" s="18" t="s">
        <v>34</v>
      </c>
      <c r="D244" s="19" t="s">
        <v>609</v>
      </c>
      <c r="E244" s="20" t="s">
        <v>53</v>
      </c>
      <c r="F244" s="19" t="s">
        <v>660</v>
      </c>
      <c r="G244" s="18" t="s">
        <v>611</v>
      </c>
      <c r="H244" s="22">
        <v>46021</v>
      </c>
      <c r="I244" s="71" t="s">
        <v>619</v>
      </c>
      <c r="J244" s="29">
        <v>7589466000</v>
      </c>
      <c r="K244" s="51">
        <v>8427653</v>
      </c>
      <c r="L244" s="26" t="s">
        <v>30</v>
      </c>
      <c r="M244" s="30" t="s">
        <v>640</v>
      </c>
      <c r="N244" s="31" t="s">
        <v>661</v>
      </c>
      <c r="O244" s="32"/>
      <c r="P244" s="32"/>
      <c r="Q244" s="31" t="s">
        <v>33</v>
      </c>
      <c r="R244" s="33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 ht="13.8">
      <c r="A245" s="10"/>
      <c r="B245" s="17"/>
      <c r="C245" s="18" t="s">
        <v>34</v>
      </c>
      <c r="D245" s="19" t="s">
        <v>609</v>
      </c>
      <c r="E245" s="20" t="s">
        <v>53</v>
      </c>
      <c r="F245" s="19" t="s">
        <v>662</v>
      </c>
      <c r="G245" s="18" t="s">
        <v>611</v>
      </c>
      <c r="H245" s="22">
        <v>46021</v>
      </c>
      <c r="I245" s="71" t="s">
        <v>619</v>
      </c>
      <c r="J245" s="29">
        <v>7589466000</v>
      </c>
      <c r="K245" s="51">
        <v>5666872</v>
      </c>
      <c r="L245" s="26" t="s">
        <v>30</v>
      </c>
      <c r="M245" s="30" t="s">
        <v>626</v>
      </c>
      <c r="N245" s="31" t="s">
        <v>663</v>
      </c>
      <c r="O245" s="32"/>
      <c r="P245" s="32"/>
      <c r="Q245" s="31" t="s">
        <v>33</v>
      </c>
      <c r="R245" s="33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 ht="13.8">
      <c r="A246" s="10"/>
      <c r="B246" s="17"/>
      <c r="C246" s="18" t="s">
        <v>34</v>
      </c>
      <c r="D246" s="19" t="s">
        <v>609</v>
      </c>
      <c r="E246" s="20" t="s">
        <v>53</v>
      </c>
      <c r="F246" s="19" t="s">
        <v>664</v>
      </c>
      <c r="G246" s="18" t="s">
        <v>611</v>
      </c>
      <c r="H246" s="22">
        <v>46021</v>
      </c>
      <c r="I246" s="71" t="s">
        <v>619</v>
      </c>
      <c r="J246" s="29">
        <v>7589466000</v>
      </c>
      <c r="K246" s="51">
        <v>89540825</v>
      </c>
      <c r="L246" s="26" t="s">
        <v>30</v>
      </c>
      <c r="M246" s="30" t="s">
        <v>620</v>
      </c>
      <c r="N246" s="31" t="s">
        <v>665</v>
      </c>
      <c r="O246" s="32"/>
      <c r="P246" s="32"/>
      <c r="Q246" s="31" t="s">
        <v>33</v>
      </c>
      <c r="R246" s="33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 ht="13.8">
      <c r="A247" s="10"/>
      <c r="B247" s="17"/>
      <c r="C247" s="18" t="s">
        <v>34</v>
      </c>
      <c r="D247" s="19" t="s">
        <v>609</v>
      </c>
      <c r="E247" s="20" t="s">
        <v>53</v>
      </c>
      <c r="F247" s="19" t="s">
        <v>666</v>
      </c>
      <c r="G247" s="18" t="s">
        <v>611</v>
      </c>
      <c r="H247" s="22">
        <v>46021</v>
      </c>
      <c r="I247" s="71" t="s">
        <v>619</v>
      </c>
      <c r="J247" s="29">
        <v>7589466000</v>
      </c>
      <c r="K247" s="51">
        <v>428304</v>
      </c>
      <c r="L247" s="26" t="s">
        <v>30</v>
      </c>
      <c r="M247" s="30" t="s">
        <v>640</v>
      </c>
      <c r="N247" s="31" t="s">
        <v>667</v>
      </c>
      <c r="O247" s="32"/>
      <c r="P247" s="32"/>
      <c r="Q247" s="31" t="s">
        <v>33</v>
      </c>
      <c r="R247" s="33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 ht="13.8">
      <c r="A248" s="10"/>
      <c r="B248" s="17"/>
      <c r="C248" s="18" t="s">
        <v>34</v>
      </c>
      <c r="D248" s="19" t="s">
        <v>609</v>
      </c>
      <c r="E248" s="20" t="s">
        <v>53</v>
      </c>
      <c r="F248" s="19" t="s">
        <v>668</v>
      </c>
      <c r="G248" s="18" t="s">
        <v>611</v>
      </c>
      <c r="H248" s="22">
        <v>46021</v>
      </c>
      <c r="I248" s="71" t="s">
        <v>619</v>
      </c>
      <c r="J248" s="29">
        <v>7589466000</v>
      </c>
      <c r="K248" s="51">
        <v>2604710</v>
      </c>
      <c r="L248" s="26" t="s">
        <v>30</v>
      </c>
      <c r="M248" s="30" t="s">
        <v>656</v>
      </c>
      <c r="N248" s="31" t="s">
        <v>669</v>
      </c>
      <c r="O248" s="32"/>
      <c r="P248" s="32"/>
      <c r="Q248" s="31" t="s">
        <v>33</v>
      </c>
      <c r="R248" s="33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 ht="13.8">
      <c r="A249" s="10"/>
      <c r="B249" s="17"/>
      <c r="C249" s="18" t="s">
        <v>34</v>
      </c>
      <c r="D249" s="19" t="s">
        <v>609</v>
      </c>
      <c r="E249" s="20" t="s">
        <v>53</v>
      </c>
      <c r="F249" s="19" t="s">
        <v>670</v>
      </c>
      <c r="G249" s="18" t="s">
        <v>611</v>
      </c>
      <c r="H249" s="22">
        <v>46021</v>
      </c>
      <c r="I249" s="71" t="s">
        <v>671</v>
      </c>
      <c r="J249" s="29">
        <v>243303000</v>
      </c>
      <c r="K249" s="51">
        <v>19424999</v>
      </c>
      <c r="L249" s="26" t="s">
        <v>30</v>
      </c>
      <c r="M249" s="30" t="s">
        <v>672</v>
      </c>
      <c r="N249" s="31" t="s">
        <v>673</v>
      </c>
      <c r="O249" s="32"/>
      <c r="P249" s="32"/>
      <c r="Q249" s="31" t="s">
        <v>33</v>
      </c>
      <c r="R249" s="33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 ht="13.8">
      <c r="A250" s="10"/>
      <c r="B250" s="17"/>
      <c r="C250" s="18" t="s">
        <v>34</v>
      </c>
      <c r="D250" s="19" t="s">
        <v>609</v>
      </c>
      <c r="E250" s="20" t="s">
        <v>53</v>
      </c>
      <c r="F250" s="19" t="s">
        <v>674</v>
      </c>
      <c r="G250" s="18" t="s">
        <v>611</v>
      </c>
      <c r="H250" s="22">
        <v>46021</v>
      </c>
      <c r="I250" s="71" t="s">
        <v>619</v>
      </c>
      <c r="J250" s="29">
        <v>7589466000</v>
      </c>
      <c r="K250" s="51">
        <v>76275803</v>
      </c>
      <c r="L250" s="26" t="s">
        <v>30</v>
      </c>
      <c r="M250" s="30" t="s">
        <v>640</v>
      </c>
      <c r="N250" s="31" t="s">
        <v>675</v>
      </c>
      <c r="O250" s="32"/>
      <c r="P250" s="32"/>
      <c r="Q250" s="31" t="s">
        <v>33</v>
      </c>
      <c r="R250" s="33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 ht="13.8">
      <c r="A251" s="10"/>
      <c r="B251" s="17"/>
      <c r="C251" s="18" t="s">
        <v>34</v>
      </c>
      <c r="D251" s="19" t="s">
        <v>609</v>
      </c>
      <c r="E251" s="20" t="s">
        <v>53</v>
      </c>
      <c r="F251" s="19" t="s">
        <v>676</v>
      </c>
      <c r="G251" s="18" t="s">
        <v>611</v>
      </c>
      <c r="H251" s="22">
        <v>46021</v>
      </c>
      <c r="I251" s="71" t="s">
        <v>619</v>
      </c>
      <c r="J251" s="29">
        <v>7589466000</v>
      </c>
      <c r="K251" s="51">
        <v>56398367</v>
      </c>
      <c r="L251" s="26" t="s">
        <v>30</v>
      </c>
      <c r="M251" s="30" t="s">
        <v>677</v>
      </c>
      <c r="N251" s="31" t="s">
        <v>678</v>
      </c>
      <c r="O251" s="32"/>
      <c r="P251" s="32"/>
      <c r="Q251" s="31" t="s">
        <v>33</v>
      </c>
      <c r="R251" s="33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 ht="13.8">
      <c r="A252" s="10"/>
      <c r="B252" s="17"/>
      <c r="C252" s="18" t="s">
        <v>34</v>
      </c>
      <c r="D252" s="19" t="s">
        <v>609</v>
      </c>
      <c r="E252" s="20" t="s">
        <v>53</v>
      </c>
      <c r="F252" s="19" t="s">
        <v>679</v>
      </c>
      <c r="G252" s="18" t="s">
        <v>611</v>
      </c>
      <c r="H252" s="22">
        <v>46021</v>
      </c>
      <c r="I252" s="71" t="s">
        <v>619</v>
      </c>
      <c r="J252" s="29">
        <v>7589466000</v>
      </c>
      <c r="K252" s="51">
        <v>4221891</v>
      </c>
      <c r="L252" s="26" t="s">
        <v>30</v>
      </c>
      <c r="M252" s="30" t="s">
        <v>623</v>
      </c>
      <c r="N252" s="31" t="s">
        <v>680</v>
      </c>
      <c r="O252" s="32"/>
      <c r="P252" s="32"/>
      <c r="Q252" s="31" t="s">
        <v>33</v>
      </c>
      <c r="R252" s="33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 ht="13.8">
      <c r="A253" s="10"/>
      <c r="B253" s="17"/>
      <c r="C253" s="18" t="s">
        <v>34</v>
      </c>
      <c r="D253" s="19" t="s">
        <v>609</v>
      </c>
      <c r="E253" s="20" t="s">
        <v>53</v>
      </c>
      <c r="F253" s="19" t="s">
        <v>681</v>
      </c>
      <c r="G253" s="18" t="s">
        <v>611</v>
      </c>
      <c r="H253" s="22">
        <v>46021</v>
      </c>
      <c r="I253" s="71" t="s">
        <v>619</v>
      </c>
      <c r="J253" s="29">
        <v>7589466000</v>
      </c>
      <c r="K253" s="51">
        <v>60870975</v>
      </c>
      <c r="L253" s="26" t="s">
        <v>30</v>
      </c>
      <c r="M253" s="30" t="s">
        <v>682</v>
      </c>
      <c r="N253" s="31" t="s">
        <v>683</v>
      </c>
      <c r="O253" s="32"/>
      <c r="P253" s="32"/>
      <c r="Q253" s="31" t="s">
        <v>33</v>
      </c>
      <c r="R253" s="33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 ht="13.8">
      <c r="A254" s="10"/>
      <c r="B254" s="17"/>
      <c r="C254" s="18" t="s">
        <v>34</v>
      </c>
      <c r="D254" s="19" t="s">
        <v>609</v>
      </c>
      <c r="E254" s="20" t="s">
        <v>53</v>
      </c>
      <c r="F254" s="19" t="s">
        <v>684</v>
      </c>
      <c r="G254" s="18" t="s">
        <v>611</v>
      </c>
      <c r="H254" s="22">
        <v>46021</v>
      </c>
      <c r="I254" s="71" t="s">
        <v>619</v>
      </c>
      <c r="J254" s="29">
        <v>7589466000</v>
      </c>
      <c r="K254" s="51">
        <v>166400813</v>
      </c>
      <c r="L254" s="26" t="s">
        <v>30</v>
      </c>
      <c r="M254" s="30" t="s">
        <v>677</v>
      </c>
      <c r="N254" s="31" t="s">
        <v>685</v>
      </c>
      <c r="O254" s="32"/>
      <c r="P254" s="32"/>
      <c r="Q254" s="31" t="s">
        <v>33</v>
      </c>
      <c r="R254" s="33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 ht="13.8">
      <c r="A255" s="10"/>
      <c r="B255" s="17"/>
      <c r="C255" s="18" t="s">
        <v>34</v>
      </c>
      <c r="D255" s="19" t="s">
        <v>609</v>
      </c>
      <c r="E255" s="20" t="s">
        <v>53</v>
      </c>
      <c r="F255" s="19" t="s">
        <v>686</v>
      </c>
      <c r="G255" s="18" t="s">
        <v>611</v>
      </c>
      <c r="H255" s="22">
        <v>46021</v>
      </c>
      <c r="I255" s="71" t="s">
        <v>619</v>
      </c>
      <c r="J255" s="29">
        <v>7589466000</v>
      </c>
      <c r="K255" s="51">
        <v>717005</v>
      </c>
      <c r="L255" s="26" t="s">
        <v>30</v>
      </c>
      <c r="M255" s="30" t="s">
        <v>626</v>
      </c>
      <c r="N255" s="31" t="s">
        <v>687</v>
      </c>
      <c r="O255" s="32"/>
      <c r="P255" s="32"/>
      <c r="Q255" s="31" t="s">
        <v>33</v>
      </c>
      <c r="R255" s="33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 ht="13.8">
      <c r="A256" s="10"/>
      <c r="B256" s="17"/>
      <c r="C256" s="18" t="s">
        <v>34</v>
      </c>
      <c r="D256" s="19" t="s">
        <v>609</v>
      </c>
      <c r="E256" s="20" t="s">
        <v>53</v>
      </c>
      <c r="F256" s="19" t="s">
        <v>688</v>
      </c>
      <c r="G256" s="18" t="s">
        <v>611</v>
      </c>
      <c r="H256" s="22">
        <v>46021</v>
      </c>
      <c r="I256" s="71" t="s">
        <v>619</v>
      </c>
      <c r="J256" s="29">
        <v>7589466000</v>
      </c>
      <c r="K256" s="86" t="s">
        <v>689</v>
      </c>
      <c r="L256" s="26" t="s">
        <v>30</v>
      </c>
      <c r="M256" s="30" t="s">
        <v>623</v>
      </c>
      <c r="N256" s="31" t="s">
        <v>690</v>
      </c>
      <c r="O256" s="32"/>
      <c r="P256" s="32"/>
      <c r="Q256" s="31" t="s">
        <v>33</v>
      </c>
      <c r="R256" s="33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 ht="13.8">
      <c r="A257" s="10"/>
      <c r="B257" s="17"/>
      <c r="C257" s="18" t="s">
        <v>34</v>
      </c>
      <c r="D257" s="19" t="s">
        <v>609</v>
      </c>
      <c r="E257" s="20" t="s">
        <v>53</v>
      </c>
      <c r="F257" s="19" t="s">
        <v>691</v>
      </c>
      <c r="G257" s="18" t="s">
        <v>611</v>
      </c>
      <c r="H257" s="22">
        <v>46021</v>
      </c>
      <c r="I257" s="71" t="s">
        <v>619</v>
      </c>
      <c r="J257" s="29">
        <v>7589466000</v>
      </c>
      <c r="K257" s="51">
        <v>8236200</v>
      </c>
      <c r="L257" s="26" t="s">
        <v>30</v>
      </c>
      <c r="M257" s="30" t="s">
        <v>656</v>
      </c>
      <c r="N257" s="31" t="s">
        <v>692</v>
      </c>
      <c r="O257" s="32"/>
      <c r="P257" s="32"/>
      <c r="Q257" s="31" t="s">
        <v>33</v>
      </c>
      <c r="R257" s="33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 ht="13.8">
      <c r="A258" s="10"/>
      <c r="B258" s="17"/>
      <c r="C258" s="18" t="s">
        <v>34</v>
      </c>
      <c r="D258" s="19" t="s">
        <v>609</v>
      </c>
      <c r="E258" s="20" t="s">
        <v>53</v>
      </c>
      <c r="F258" s="19" t="s">
        <v>693</v>
      </c>
      <c r="G258" s="18" t="s">
        <v>611</v>
      </c>
      <c r="H258" s="22">
        <v>46021</v>
      </c>
      <c r="I258" s="71" t="s">
        <v>619</v>
      </c>
      <c r="J258" s="29">
        <v>7589466000</v>
      </c>
      <c r="K258" s="86" t="s">
        <v>694</v>
      </c>
      <c r="L258" s="26" t="s">
        <v>30</v>
      </c>
      <c r="M258" s="30" t="s">
        <v>629</v>
      </c>
      <c r="N258" s="31" t="s">
        <v>695</v>
      </c>
      <c r="O258" s="32"/>
      <c r="P258" s="32"/>
      <c r="Q258" s="31" t="s">
        <v>33</v>
      </c>
      <c r="R258" s="33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 ht="13.8">
      <c r="A259" s="10"/>
      <c r="B259" s="17"/>
      <c r="C259" s="18" t="s">
        <v>34</v>
      </c>
      <c r="D259" s="19" t="s">
        <v>609</v>
      </c>
      <c r="E259" s="20" t="s">
        <v>53</v>
      </c>
      <c r="F259" s="19" t="s">
        <v>696</v>
      </c>
      <c r="G259" s="18" t="s">
        <v>611</v>
      </c>
      <c r="H259" s="22">
        <v>46021</v>
      </c>
      <c r="I259" s="71" t="s">
        <v>619</v>
      </c>
      <c r="J259" s="29">
        <v>7589466000</v>
      </c>
      <c r="K259" s="51">
        <v>57317048</v>
      </c>
      <c r="L259" s="26" t="s">
        <v>30</v>
      </c>
      <c r="M259" s="30" t="s">
        <v>656</v>
      </c>
      <c r="N259" s="31" t="s">
        <v>697</v>
      </c>
      <c r="O259" s="32"/>
      <c r="P259" s="32"/>
      <c r="Q259" s="31" t="s">
        <v>33</v>
      </c>
      <c r="R259" s="33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 ht="13.8">
      <c r="A260" s="10"/>
      <c r="B260" s="17"/>
      <c r="C260" s="18" t="s">
        <v>34</v>
      </c>
      <c r="D260" s="19" t="s">
        <v>609</v>
      </c>
      <c r="E260" s="20" t="s">
        <v>53</v>
      </c>
      <c r="F260" s="19" t="s">
        <v>698</v>
      </c>
      <c r="G260" s="18" t="s">
        <v>611</v>
      </c>
      <c r="H260" s="22">
        <v>46021</v>
      </c>
      <c r="I260" s="71" t="s">
        <v>619</v>
      </c>
      <c r="J260" s="29">
        <v>7589466000</v>
      </c>
      <c r="K260" s="51">
        <v>6604889</v>
      </c>
      <c r="L260" s="26" t="s">
        <v>30</v>
      </c>
      <c r="M260" s="30" t="s">
        <v>699</v>
      </c>
      <c r="N260" s="31" t="s">
        <v>700</v>
      </c>
      <c r="O260" s="32"/>
      <c r="P260" s="32"/>
      <c r="Q260" s="31" t="s">
        <v>33</v>
      </c>
      <c r="R260" s="33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1:31" ht="13.8">
      <c r="A261" s="10"/>
      <c r="B261" s="17"/>
      <c r="C261" s="18" t="s">
        <v>34</v>
      </c>
      <c r="D261" s="19" t="s">
        <v>609</v>
      </c>
      <c r="E261" s="20" t="s">
        <v>53</v>
      </c>
      <c r="F261" s="19" t="s">
        <v>701</v>
      </c>
      <c r="G261" s="18" t="s">
        <v>611</v>
      </c>
      <c r="H261" s="22">
        <v>46021</v>
      </c>
      <c r="I261" s="71" t="s">
        <v>702</v>
      </c>
      <c r="J261" s="29">
        <v>125286800</v>
      </c>
      <c r="K261" s="51">
        <v>124953000</v>
      </c>
      <c r="L261" s="26" t="s">
        <v>231</v>
      </c>
      <c r="M261" s="30" t="s">
        <v>703</v>
      </c>
      <c r="N261" s="31" t="s">
        <v>704</v>
      </c>
      <c r="O261" s="32"/>
      <c r="P261" s="32"/>
      <c r="Q261" s="31" t="s">
        <v>33</v>
      </c>
      <c r="R261" s="33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 ht="13.8">
      <c r="A262" s="10"/>
      <c r="B262" s="17"/>
      <c r="C262" s="18" t="s">
        <v>34</v>
      </c>
      <c r="D262" s="19" t="s">
        <v>609</v>
      </c>
      <c r="E262" s="20" t="s">
        <v>53</v>
      </c>
      <c r="F262" s="19" t="s">
        <v>705</v>
      </c>
      <c r="G262" s="18" t="s">
        <v>611</v>
      </c>
      <c r="H262" s="22">
        <v>46021</v>
      </c>
      <c r="I262" s="71" t="s">
        <v>619</v>
      </c>
      <c r="J262" s="29">
        <v>7589466000</v>
      </c>
      <c r="K262" s="87">
        <v>1490175</v>
      </c>
      <c r="L262" s="26" t="s">
        <v>30</v>
      </c>
      <c r="M262" s="30" t="s">
        <v>623</v>
      </c>
      <c r="N262" s="31" t="s">
        <v>706</v>
      </c>
      <c r="O262" s="32"/>
      <c r="P262" s="32"/>
      <c r="Q262" s="31" t="s">
        <v>33</v>
      </c>
      <c r="R262" s="33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1:31" ht="13.8">
      <c r="A263" s="10"/>
      <c r="B263" s="17"/>
      <c r="C263" s="18" t="s">
        <v>34</v>
      </c>
      <c r="D263" s="19" t="s">
        <v>609</v>
      </c>
      <c r="E263" s="20" t="s">
        <v>53</v>
      </c>
      <c r="F263" s="19" t="s">
        <v>707</v>
      </c>
      <c r="G263" s="18" t="s">
        <v>611</v>
      </c>
      <c r="H263" s="22">
        <v>46021</v>
      </c>
      <c r="I263" s="71" t="s">
        <v>619</v>
      </c>
      <c r="J263" s="29">
        <v>7589466000</v>
      </c>
      <c r="K263" s="87">
        <v>1898711</v>
      </c>
      <c r="L263" s="26" t="s">
        <v>30</v>
      </c>
      <c r="M263" s="30" t="s">
        <v>708</v>
      </c>
      <c r="N263" s="31" t="s">
        <v>709</v>
      </c>
      <c r="O263" s="32"/>
      <c r="P263" s="32"/>
      <c r="Q263" s="31" t="s">
        <v>33</v>
      </c>
      <c r="R263" s="33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 ht="13.8">
      <c r="A264" s="10"/>
      <c r="B264" s="17"/>
      <c r="C264" s="18" t="s">
        <v>34</v>
      </c>
      <c r="D264" s="19" t="s">
        <v>609</v>
      </c>
      <c r="E264" s="20" t="s">
        <v>53</v>
      </c>
      <c r="F264" s="19" t="s">
        <v>710</v>
      </c>
      <c r="G264" s="18" t="s">
        <v>611</v>
      </c>
      <c r="H264" s="22">
        <v>46021</v>
      </c>
      <c r="I264" s="71" t="s">
        <v>619</v>
      </c>
      <c r="J264" s="29">
        <v>7589466000</v>
      </c>
      <c r="K264" s="51">
        <v>5693190</v>
      </c>
      <c r="L264" s="26" t="s">
        <v>30</v>
      </c>
      <c r="M264" s="30" t="s">
        <v>656</v>
      </c>
      <c r="N264" s="31" t="s">
        <v>711</v>
      </c>
      <c r="O264" s="32"/>
      <c r="P264" s="32"/>
      <c r="Q264" s="31" t="s">
        <v>33</v>
      </c>
      <c r="R264" s="33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1:31" ht="13.8">
      <c r="A265" s="10"/>
      <c r="B265" s="17"/>
      <c r="C265" s="18" t="s">
        <v>34</v>
      </c>
      <c r="D265" s="19" t="s">
        <v>609</v>
      </c>
      <c r="E265" s="20" t="s">
        <v>53</v>
      </c>
      <c r="F265" s="19" t="s">
        <v>712</v>
      </c>
      <c r="G265" s="18" t="s">
        <v>611</v>
      </c>
      <c r="H265" s="22">
        <v>46021</v>
      </c>
      <c r="I265" s="71" t="s">
        <v>619</v>
      </c>
      <c r="J265" s="29">
        <v>7589466000</v>
      </c>
      <c r="K265" s="51">
        <v>10550472</v>
      </c>
      <c r="L265" s="26" t="s">
        <v>30</v>
      </c>
      <c r="M265" s="30" t="s">
        <v>713</v>
      </c>
      <c r="N265" s="31" t="s">
        <v>714</v>
      </c>
      <c r="O265" s="32"/>
      <c r="P265" s="32"/>
      <c r="Q265" s="31" t="s">
        <v>33</v>
      </c>
      <c r="R265" s="33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 ht="13.8">
      <c r="A266" s="10"/>
      <c r="B266" s="17"/>
      <c r="C266" s="18" t="s">
        <v>34</v>
      </c>
      <c r="D266" s="19" t="s">
        <v>609</v>
      </c>
      <c r="E266" s="20" t="s">
        <v>53</v>
      </c>
      <c r="F266" s="19" t="s">
        <v>715</v>
      </c>
      <c r="G266" s="18" t="s">
        <v>611</v>
      </c>
      <c r="H266" s="22">
        <v>46021</v>
      </c>
      <c r="I266" s="71" t="s">
        <v>619</v>
      </c>
      <c r="J266" s="29">
        <v>7589466000</v>
      </c>
      <c r="K266" s="51">
        <v>7066480</v>
      </c>
      <c r="L266" s="26" t="s">
        <v>30</v>
      </c>
      <c r="M266" s="30" t="s">
        <v>629</v>
      </c>
      <c r="N266" s="31" t="s">
        <v>716</v>
      </c>
      <c r="O266" s="32"/>
      <c r="P266" s="32"/>
      <c r="Q266" s="31" t="s">
        <v>33</v>
      </c>
      <c r="R266" s="33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 ht="13.8">
      <c r="A267" s="10"/>
      <c r="B267" s="17"/>
      <c r="C267" s="18" t="s">
        <v>34</v>
      </c>
      <c r="D267" s="19" t="s">
        <v>609</v>
      </c>
      <c r="E267" s="20" t="s">
        <v>53</v>
      </c>
      <c r="F267" s="19" t="s">
        <v>717</v>
      </c>
      <c r="G267" s="18" t="s">
        <v>611</v>
      </c>
      <c r="H267" s="22">
        <v>46021</v>
      </c>
      <c r="I267" s="71" t="s">
        <v>619</v>
      </c>
      <c r="J267" s="29">
        <v>7589466000</v>
      </c>
      <c r="K267" s="51">
        <v>8899980</v>
      </c>
      <c r="L267" s="26" t="s">
        <v>30</v>
      </c>
      <c r="M267" s="30" t="s">
        <v>645</v>
      </c>
      <c r="N267" s="31" t="s">
        <v>718</v>
      </c>
      <c r="O267" s="32"/>
      <c r="P267" s="32"/>
      <c r="Q267" s="31" t="s">
        <v>33</v>
      </c>
      <c r="R267" s="33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 ht="13.8">
      <c r="A268" s="10"/>
      <c r="B268" s="17"/>
      <c r="C268" s="18" t="s">
        <v>34</v>
      </c>
      <c r="D268" s="19" t="s">
        <v>609</v>
      </c>
      <c r="E268" s="20" t="s">
        <v>53</v>
      </c>
      <c r="F268" s="19" t="s">
        <v>719</v>
      </c>
      <c r="G268" s="18" t="s">
        <v>611</v>
      </c>
      <c r="H268" s="22">
        <v>46021</v>
      </c>
      <c r="I268" s="71" t="s">
        <v>619</v>
      </c>
      <c r="J268" s="29">
        <v>7589466000</v>
      </c>
      <c r="K268" s="51">
        <v>22975668</v>
      </c>
      <c r="L268" s="26" t="s">
        <v>30</v>
      </c>
      <c r="M268" s="30" t="s">
        <v>645</v>
      </c>
      <c r="N268" s="31" t="s">
        <v>720</v>
      </c>
      <c r="O268" s="32"/>
      <c r="P268" s="32"/>
      <c r="Q268" s="31" t="s">
        <v>33</v>
      </c>
      <c r="R268" s="33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spans="1:31" ht="13.8">
      <c r="A269" s="10"/>
      <c r="B269" s="17"/>
      <c r="C269" s="18" t="s">
        <v>34</v>
      </c>
      <c r="D269" s="19" t="s">
        <v>609</v>
      </c>
      <c r="E269" s="20" t="s">
        <v>53</v>
      </c>
      <c r="F269" s="19" t="s">
        <v>721</v>
      </c>
      <c r="G269" s="18" t="s">
        <v>611</v>
      </c>
      <c r="H269" s="22">
        <v>46021</v>
      </c>
      <c r="I269" s="71" t="s">
        <v>619</v>
      </c>
      <c r="J269" s="29">
        <v>7589466000</v>
      </c>
      <c r="K269" s="51">
        <v>776889</v>
      </c>
      <c r="L269" s="26" t="s">
        <v>30</v>
      </c>
      <c r="M269" s="30" t="s">
        <v>699</v>
      </c>
      <c r="N269" s="31" t="s">
        <v>722</v>
      </c>
      <c r="O269" s="32"/>
      <c r="P269" s="32"/>
      <c r="Q269" s="31" t="s">
        <v>33</v>
      </c>
      <c r="R269" s="33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spans="1:31" ht="13.8">
      <c r="A270" s="10"/>
      <c r="B270" s="17"/>
      <c r="C270" s="18" t="s">
        <v>34</v>
      </c>
      <c r="D270" s="19" t="s">
        <v>609</v>
      </c>
      <c r="E270" s="20" t="s">
        <v>53</v>
      </c>
      <c r="F270" s="19" t="s">
        <v>723</v>
      </c>
      <c r="G270" s="18" t="s">
        <v>611</v>
      </c>
      <c r="H270" s="22">
        <v>46021</v>
      </c>
      <c r="I270" s="71" t="s">
        <v>619</v>
      </c>
      <c r="J270" s="29">
        <v>7589466000</v>
      </c>
      <c r="K270" s="87">
        <v>11080575</v>
      </c>
      <c r="L270" s="26" t="s">
        <v>30</v>
      </c>
      <c r="M270" s="30" t="s">
        <v>724</v>
      </c>
      <c r="N270" s="31" t="s">
        <v>725</v>
      </c>
      <c r="O270" s="32"/>
      <c r="P270" s="32"/>
      <c r="Q270" s="31" t="s">
        <v>33</v>
      </c>
      <c r="R270" s="33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 ht="13.8">
      <c r="A271" s="10"/>
      <c r="B271" s="17"/>
      <c r="C271" s="18" t="s">
        <v>34</v>
      </c>
      <c r="D271" s="19" t="s">
        <v>609</v>
      </c>
      <c r="E271" s="20" t="s">
        <v>53</v>
      </c>
      <c r="F271" s="19" t="s">
        <v>726</v>
      </c>
      <c r="G271" s="18" t="s">
        <v>611</v>
      </c>
      <c r="H271" s="22">
        <v>46021</v>
      </c>
      <c r="I271" s="71" t="s">
        <v>619</v>
      </c>
      <c r="J271" s="29">
        <v>7589466000</v>
      </c>
      <c r="K271" s="51">
        <v>70596000</v>
      </c>
      <c r="L271" s="26" t="s">
        <v>30</v>
      </c>
      <c r="M271" s="30" t="s">
        <v>724</v>
      </c>
      <c r="N271" s="31" t="s">
        <v>727</v>
      </c>
      <c r="O271" s="32"/>
      <c r="P271" s="32"/>
      <c r="Q271" s="31" t="s">
        <v>33</v>
      </c>
      <c r="R271" s="33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spans="1:31" ht="13.8">
      <c r="A272" s="10"/>
      <c r="B272" s="17"/>
      <c r="C272" s="18" t="s">
        <v>34</v>
      </c>
      <c r="D272" s="19" t="s">
        <v>609</v>
      </c>
      <c r="E272" s="20" t="s">
        <v>53</v>
      </c>
      <c r="F272" s="19" t="s">
        <v>728</v>
      </c>
      <c r="G272" s="18" t="s">
        <v>611</v>
      </c>
      <c r="H272" s="22">
        <v>46021</v>
      </c>
      <c r="I272" s="71" t="s">
        <v>619</v>
      </c>
      <c r="J272" s="29">
        <v>7589466000</v>
      </c>
      <c r="K272" s="87">
        <v>221778</v>
      </c>
      <c r="L272" s="26" t="s">
        <v>30</v>
      </c>
      <c r="M272" s="30" t="s">
        <v>724</v>
      </c>
      <c r="N272" s="31" t="s">
        <v>729</v>
      </c>
      <c r="O272" s="32"/>
      <c r="P272" s="32"/>
      <c r="Q272" s="31" t="s">
        <v>33</v>
      </c>
      <c r="R272" s="33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spans="1:31" ht="13.8">
      <c r="A273" s="10"/>
      <c r="B273" s="17"/>
      <c r="C273" s="18" t="s">
        <v>34</v>
      </c>
      <c r="D273" s="19" t="s">
        <v>609</v>
      </c>
      <c r="E273" s="20" t="s">
        <v>53</v>
      </c>
      <c r="F273" s="19" t="s">
        <v>730</v>
      </c>
      <c r="G273" s="18" t="s">
        <v>611</v>
      </c>
      <c r="H273" s="22">
        <v>46021</v>
      </c>
      <c r="I273" s="71" t="s">
        <v>619</v>
      </c>
      <c r="J273" s="29">
        <v>7589466000</v>
      </c>
      <c r="K273" s="87">
        <v>1897434</v>
      </c>
      <c r="L273" s="26" t="s">
        <v>30</v>
      </c>
      <c r="M273" s="30" t="s">
        <v>640</v>
      </c>
      <c r="N273" s="31" t="s">
        <v>731</v>
      </c>
      <c r="O273" s="32"/>
      <c r="P273" s="32"/>
      <c r="Q273" s="31" t="s">
        <v>33</v>
      </c>
      <c r="R273" s="33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spans="1:31" ht="13.8">
      <c r="A274" s="10"/>
      <c r="B274" s="17"/>
      <c r="C274" s="18" t="s">
        <v>34</v>
      </c>
      <c r="D274" s="19" t="s">
        <v>609</v>
      </c>
      <c r="E274" s="20" t="s">
        <v>53</v>
      </c>
      <c r="F274" s="19" t="s">
        <v>732</v>
      </c>
      <c r="G274" s="18" t="s">
        <v>611</v>
      </c>
      <c r="H274" s="22">
        <v>46021</v>
      </c>
      <c r="I274" s="71" t="s">
        <v>619</v>
      </c>
      <c r="J274" s="29">
        <v>7589466000</v>
      </c>
      <c r="K274" s="51">
        <v>4703292</v>
      </c>
      <c r="L274" s="26" t="s">
        <v>30</v>
      </c>
      <c r="M274" s="30" t="s">
        <v>640</v>
      </c>
      <c r="N274" s="31" t="s">
        <v>733</v>
      </c>
      <c r="O274" s="32"/>
      <c r="P274" s="32"/>
      <c r="Q274" s="31" t="s">
        <v>33</v>
      </c>
      <c r="R274" s="33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spans="1:31" ht="13.8">
      <c r="A275" s="10"/>
      <c r="B275" s="17"/>
      <c r="C275" s="18" t="s">
        <v>34</v>
      </c>
      <c r="D275" s="19" t="s">
        <v>609</v>
      </c>
      <c r="E275" s="20" t="s">
        <v>53</v>
      </c>
      <c r="F275" s="19" t="s">
        <v>734</v>
      </c>
      <c r="G275" s="18" t="s">
        <v>611</v>
      </c>
      <c r="H275" s="22">
        <v>46021</v>
      </c>
      <c r="I275" s="71" t="s">
        <v>619</v>
      </c>
      <c r="J275" s="29">
        <v>7589466000</v>
      </c>
      <c r="K275" s="87">
        <v>16001261</v>
      </c>
      <c r="L275" s="26" t="s">
        <v>30</v>
      </c>
      <c r="M275" s="30" t="s">
        <v>640</v>
      </c>
      <c r="N275" s="31" t="s">
        <v>735</v>
      </c>
      <c r="O275" s="32"/>
      <c r="P275" s="32"/>
      <c r="Q275" s="31" t="s">
        <v>33</v>
      </c>
      <c r="R275" s="33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spans="1:31" ht="13.8">
      <c r="A276" s="10"/>
      <c r="B276" s="17"/>
      <c r="C276" s="18" t="s">
        <v>34</v>
      </c>
      <c r="D276" s="19" t="s">
        <v>609</v>
      </c>
      <c r="E276" s="20" t="s">
        <v>53</v>
      </c>
      <c r="F276" s="19" t="s">
        <v>736</v>
      </c>
      <c r="G276" s="18" t="s">
        <v>611</v>
      </c>
      <c r="H276" s="22">
        <v>46021</v>
      </c>
      <c r="I276" s="71" t="s">
        <v>619</v>
      </c>
      <c r="J276" s="29">
        <v>7589466000</v>
      </c>
      <c r="K276" s="51">
        <v>4377379</v>
      </c>
      <c r="L276" s="26" t="s">
        <v>231</v>
      </c>
      <c r="M276" s="30" t="s">
        <v>640</v>
      </c>
      <c r="N276" s="31" t="s">
        <v>737</v>
      </c>
      <c r="O276" s="32"/>
      <c r="P276" s="32"/>
      <c r="Q276" s="31" t="s">
        <v>33</v>
      </c>
      <c r="R276" s="33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 ht="13.8">
      <c r="A277" s="10"/>
      <c r="B277" s="17"/>
      <c r="C277" s="18" t="s">
        <v>34</v>
      </c>
      <c r="D277" s="19" t="s">
        <v>609</v>
      </c>
      <c r="E277" s="20" t="s">
        <v>53</v>
      </c>
      <c r="F277" s="19" t="s">
        <v>738</v>
      </c>
      <c r="G277" s="18" t="s">
        <v>611</v>
      </c>
      <c r="H277" s="22">
        <v>46021</v>
      </c>
      <c r="I277" s="71" t="s">
        <v>619</v>
      </c>
      <c r="J277" s="29">
        <v>7589466000</v>
      </c>
      <c r="K277" s="51">
        <v>2885000</v>
      </c>
      <c r="L277" s="26" t="s">
        <v>231</v>
      </c>
      <c r="M277" s="30" t="s">
        <v>656</v>
      </c>
      <c r="N277" s="31" t="s">
        <v>739</v>
      </c>
      <c r="O277" s="32"/>
      <c r="P277" s="32"/>
      <c r="Q277" s="31" t="s">
        <v>33</v>
      </c>
      <c r="R277" s="33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1:31" ht="13.8">
      <c r="A278" s="10"/>
      <c r="B278" s="17"/>
      <c r="C278" s="18" t="s">
        <v>34</v>
      </c>
      <c r="D278" s="19" t="s">
        <v>609</v>
      </c>
      <c r="E278" s="20" t="s">
        <v>53</v>
      </c>
      <c r="F278" s="19" t="s">
        <v>740</v>
      </c>
      <c r="G278" s="18" t="s">
        <v>611</v>
      </c>
      <c r="H278" s="22">
        <v>46021</v>
      </c>
      <c r="I278" s="71" t="s">
        <v>619</v>
      </c>
      <c r="J278" s="29">
        <v>7589466000</v>
      </c>
      <c r="K278" s="86" t="s">
        <v>741</v>
      </c>
      <c r="L278" s="26" t="s">
        <v>231</v>
      </c>
      <c r="M278" s="30" t="s">
        <v>724</v>
      </c>
      <c r="N278" s="31" t="s">
        <v>742</v>
      </c>
      <c r="O278" s="32"/>
      <c r="P278" s="32"/>
      <c r="Q278" s="31" t="s">
        <v>33</v>
      </c>
      <c r="R278" s="33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 ht="13.8">
      <c r="A279" s="10"/>
      <c r="B279" s="17"/>
      <c r="C279" s="18" t="s">
        <v>34</v>
      </c>
      <c r="D279" s="19" t="s">
        <v>609</v>
      </c>
      <c r="E279" s="20" t="s">
        <v>53</v>
      </c>
      <c r="F279" s="19" t="s">
        <v>743</v>
      </c>
      <c r="G279" s="18" t="s">
        <v>611</v>
      </c>
      <c r="H279" s="22">
        <v>46021</v>
      </c>
      <c r="I279" s="71" t="s">
        <v>619</v>
      </c>
      <c r="J279" s="29">
        <v>7589466000</v>
      </c>
      <c r="K279" s="86" t="s">
        <v>741</v>
      </c>
      <c r="L279" s="26" t="s">
        <v>231</v>
      </c>
      <c r="M279" s="30" t="s">
        <v>623</v>
      </c>
      <c r="N279" s="31" t="s">
        <v>744</v>
      </c>
      <c r="O279" s="32"/>
      <c r="P279" s="32"/>
      <c r="Q279" s="31" t="s">
        <v>33</v>
      </c>
      <c r="R279" s="33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spans="1:31" ht="13.8">
      <c r="A280" s="10"/>
      <c r="B280" s="17"/>
      <c r="C280" s="18" t="s">
        <v>34</v>
      </c>
      <c r="D280" s="19" t="s">
        <v>609</v>
      </c>
      <c r="E280" s="20" t="s">
        <v>53</v>
      </c>
      <c r="F280" s="19" t="s">
        <v>745</v>
      </c>
      <c r="G280" s="18" t="s">
        <v>611</v>
      </c>
      <c r="H280" s="22">
        <v>46021</v>
      </c>
      <c r="I280" s="71" t="s">
        <v>619</v>
      </c>
      <c r="J280" s="29">
        <v>7589466000</v>
      </c>
      <c r="K280" s="51">
        <v>24242684</v>
      </c>
      <c r="L280" s="26" t="s">
        <v>231</v>
      </c>
      <c r="M280" s="30" t="s">
        <v>746</v>
      </c>
      <c r="N280" s="31" t="s">
        <v>747</v>
      </c>
      <c r="O280" s="32"/>
      <c r="P280" s="32"/>
      <c r="Q280" s="31" t="s">
        <v>33</v>
      </c>
      <c r="R280" s="33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spans="1:31" ht="13.8">
      <c r="A281" s="10"/>
      <c r="B281" s="17"/>
      <c r="C281" s="18" t="s">
        <v>34</v>
      </c>
      <c r="D281" s="19" t="s">
        <v>609</v>
      </c>
      <c r="E281" s="20" t="s">
        <v>53</v>
      </c>
      <c r="F281" s="19" t="s">
        <v>748</v>
      </c>
      <c r="G281" s="18" t="s">
        <v>611</v>
      </c>
      <c r="H281" s="22">
        <v>46021</v>
      </c>
      <c r="I281" s="71" t="s">
        <v>619</v>
      </c>
      <c r="J281" s="29">
        <v>7589466000</v>
      </c>
      <c r="K281" s="51">
        <v>25828013</v>
      </c>
      <c r="L281" s="26" t="s">
        <v>231</v>
      </c>
      <c r="M281" s="30" t="s">
        <v>640</v>
      </c>
      <c r="N281" s="31" t="s">
        <v>749</v>
      </c>
      <c r="O281" s="32"/>
      <c r="P281" s="32"/>
      <c r="Q281" s="31" t="s">
        <v>33</v>
      </c>
      <c r="R281" s="33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spans="1:31" ht="13.8">
      <c r="A282" s="10"/>
      <c r="B282" s="17"/>
      <c r="C282" s="18" t="s">
        <v>34</v>
      </c>
      <c r="D282" s="19" t="s">
        <v>609</v>
      </c>
      <c r="E282" s="20" t="s">
        <v>53</v>
      </c>
      <c r="F282" s="19" t="s">
        <v>750</v>
      </c>
      <c r="G282" s="18" t="s">
        <v>611</v>
      </c>
      <c r="H282" s="22">
        <v>46021</v>
      </c>
      <c r="I282" s="71" t="s">
        <v>619</v>
      </c>
      <c r="J282" s="29">
        <v>7589466000</v>
      </c>
      <c r="K282" s="51">
        <v>16719930</v>
      </c>
      <c r="L282" s="26" t="s">
        <v>231</v>
      </c>
      <c r="M282" s="30" t="s">
        <v>746</v>
      </c>
      <c r="N282" s="31" t="s">
        <v>751</v>
      </c>
      <c r="O282" s="32"/>
      <c r="P282" s="32"/>
      <c r="Q282" s="31" t="s">
        <v>33</v>
      </c>
      <c r="R282" s="33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spans="1:31" ht="27.6">
      <c r="A283" s="10"/>
      <c r="B283" s="17"/>
      <c r="C283" s="18" t="s">
        <v>34</v>
      </c>
      <c r="D283" s="19" t="s">
        <v>609</v>
      </c>
      <c r="E283" s="20" t="s">
        <v>53</v>
      </c>
      <c r="F283" s="19" t="s">
        <v>752</v>
      </c>
      <c r="G283" s="18" t="s">
        <v>611</v>
      </c>
      <c r="H283" s="22">
        <v>46021</v>
      </c>
      <c r="I283" s="71" t="s">
        <v>753</v>
      </c>
      <c r="J283" s="29">
        <v>7589466000</v>
      </c>
      <c r="K283" s="51">
        <v>45495000</v>
      </c>
      <c r="L283" s="26" t="s">
        <v>231</v>
      </c>
      <c r="M283" s="30" t="s">
        <v>754</v>
      </c>
      <c r="N283" s="31" t="s">
        <v>755</v>
      </c>
      <c r="O283" s="32"/>
      <c r="P283" s="32"/>
      <c r="Q283" s="31" t="s">
        <v>33</v>
      </c>
      <c r="R283" s="33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1:31" ht="13.8">
      <c r="A284" s="10"/>
      <c r="B284" s="17"/>
      <c r="C284" s="18" t="s">
        <v>34</v>
      </c>
      <c r="D284" s="19" t="s">
        <v>609</v>
      </c>
      <c r="E284" s="20" t="s">
        <v>53</v>
      </c>
      <c r="F284" s="19" t="s">
        <v>756</v>
      </c>
      <c r="G284" s="18" t="s">
        <v>611</v>
      </c>
      <c r="H284" s="22">
        <v>46021</v>
      </c>
      <c r="I284" s="71" t="s">
        <v>619</v>
      </c>
      <c r="J284" s="29">
        <v>7589466000</v>
      </c>
      <c r="K284" s="86" t="s">
        <v>757</v>
      </c>
      <c r="L284" s="26" t="s">
        <v>231</v>
      </c>
      <c r="M284" s="30" t="s">
        <v>754</v>
      </c>
      <c r="N284" s="31" t="s">
        <v>758</v>
      </c>
      <c r="O284" s="32"/>
      <c r="P284" s="32"/>
      <c r="Q284" s="31" t="s">
        <v>33</v>
      </c>
      <c r="R284" s="33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spans="1:31" ht="13.8">
      <c r="A285" s="10"/>
      <c r="B285" s="17"/>
      <c r="C285" s="18" t="s">
        <v>34</v>
      </c>
      <c r="D285" s="19" t="s">
        <v>609</v>
      </c>
      <c r="E285" s="20" t="s">
        <v>53</v>
      </c>
      <c r="F285" s="19" t="s">
        <v>759</v>
      </c>
      <c r="G285" s="18" t="s">
        <v>611</v>
      </c>
      <c r="H285" s="22">
        <v>46021</v>
      </c>
      <c r="I285" s="71" t="s">
        <v>619</v>
      </c>
      <c r="J285" s="29">
        <v>7589466000</v>
      </c>
      <c r="K285" s="51">
        <v>36145035</v>
      </c>
      <c r="L285" s="26" t="s">
        <v>231</v>
      </c>
      <c r="M285" s="30" t="s">
        <v>623</v>
      </c>
      <c r="N285" s="31" t="s">
        <v>760</v>
      </c>
      <c r="O285" s="32"/>
      <c r="P285" s="32"/>
      <c r="Q285" s="31" t="s">
        <v>33</v>
      </c>
      <c r="R285" s="33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1:31" ht="13.8">
      <c r="A286" s="10"/>
      <c r="B286" s="17"/>
      <c r="C286" s="18" t="s">
        <v>34</v>
      </c>
      <c r="D286" s="19" t="s">
        <v>609</v>
      </c>
      <c r="E286" s="20" t="s">
        <v>53</v>
      </c>
      <c r="F286" s="19" t="s">
        <v>761</v>
      </c>
      <c r="G286" s="18" t="s">
        <v>611</v>
      </c>
      <c r="H286" s="22">
        <v>46021</v>
      </c>
      <c r="I286" s="71" t="s">
        <v>619</v>
      </c>
      <c r="J286" s="29">
        <v>7589466000</v>
      </c>
      <c r="K286" s="51">
        <v>34504351</v>
      </c>
      <c r="L286" s="26" t="s">
        <v>231</v>
      </c>
      <c r="M286" s="30" t="s">
        <v>677</v>
      </c>
      <c r="N286" s="31" t="s">
        <v>762</v>
      </c>
      <c r="O286" s="32"/>
      <c r="P286" s="32"/>
      <c r="Q286" s="31" t="s">
        <v>33</v>
      </c>
      <c r="R286" s="33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1:31" ht="13.8">
      <c r="A287" s="10"/>
      <c r="B287" s="17"/>
      <c r="C287" s="18" t="s">
        <v>34</v>
      </c>
      <c r="D287" s="19" t="s">
        <v>609</v>
      </c>
      <c r="E287" s="20" t="s">
        <v>53</v>
      </c>
      <c r="F287" s="19" t="s">
        <v>763</v>
      </c>
      <c r="G287" s="18" t="s">
        <v>611</v>
      </c>
      <c r="H287" s="22">
        <v>46021</v>
      </c>
      <c r="I287" s="71" t="s">
        <v>764</v>
      </c>
      <c r="J287" s="29">
        <v>7589466000</v>
      </c>
      <c r="K287" s="51">
        <v>103903000</v>
      </c>
      <c r="L287" s="26" t="s">
        <v>231</v>
      </c>
      <c r="M287" s="30" t="s">
        <v>765</v>
      </c>
      <c r="N287" s="31" t="s">
        <v>766</v>
      </c>
      <c r="O287" s="32"/>
      <c r="P287" s="32"/>
      <c r="Q287" s="31" t="s">
        <v>33</v>
      </c>
      <c r="R287" s="33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1:31" ht="13.8">
      <c r="A288" s="10"/>
      <c r="B288" s="17"/>
      <c r="C288" s="18" t="s">
        <v>34</v>
      </c>
      <c r="D288" s="19" t="s">
        <v>609</v>
      </c>
      <c r="E288" s="20" t="s">
        <v>53</v>
      </c>
      <c r="F288" s="19" t="s">
        <v>767</v>
      </c>
      <c r="G288" s="18" t="s">
        <v>611</v>
      </c>
      <c r="H288" s="22">
        <v>46021</v>
      </c>
      <c r="I288" s="71" t="s">
        <v>619</v>
      </c>
      <c r="J288" s="29">
        <v>7589466000</v>
      </c>
      <c r="K288" s="88" t="s">
        <v>768</v>
      </c>
      <c r="L288" s="26" t="s">
        <v>30</v>
      </c>
      <c r="M288" s="30" t="s">
        <v>769</v>
      </c>
      <c r="N288" s="31" t="s">
        <v>770</v>
      </c>
      <c r="O288" s="32"/>
      <c r="P288" s="32"/>
      <c r="Q288" s="31" t="s">
        <v>33</v>
      </c>
      <c r="R288" s="33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spans="1:31" ht="13.8">
      <c r="A289" s="10"/>
      <c r="B289" s="17"/>
      <c r="C289" s="18" t="s">
        <v>34</v>
      </c>
      <c r="D289" s="19" t="s">
        <v>609</v>
      </c>
      <c r="E289" s="20" t="s">
        <v>53</v>
      </c>
      <c r="F289" s="19" t="s">
        <v>771</v>
      </c>
      <c r="G289" s="18" t="s">
        <v>611</v>
      </c>
      <c r="H289" s="22">
        <v>46021</v>
      </c>
      <c r="I289" s="71" t="s">
        <v>619</v>
      </c>
      <c r="J289" s="29">
        <v>7589466000</v>
      </c>
      <c r="K289" s="84">
        <v>3617490</v>
      </c>
      <c r="L289" s="26" t="s">
        <v>30</v>
      </c>
      <c r="M289" s="30" t="s">
        <v>623</v>
      </c>
      <c r="N289" s="31" t="s">
        <v>772</v>
      </c>
      <c r="O289" s="32"/>
      <c r="P289" s="32"/>
      <c r="Q289" s="31" t="s">
        <v>33</v>
      </c>
      <c r="R289" s="33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1:31" ht="13.8">
      <c r="A290" s="10"/>
      <c r="B290" s="17"/>
      <c r="C290" s="18" t="s">
        <v>34</v>
      </c>
      <c r="D290" s="19" t="s">
        <v>609</v>
      </c>
      <c r="E290" s="20" t="s">
        <v>53</v>
      </c>
      <c r="F290" s="19" t="s">
        <v>773</v>
      </c>
      <c r="G290" s="18" t="s">
        <v>611</v>
      </c>
      <c r="H290" s="22">
        <v>46021</v>
      </c>
      <c r="I290" s="71" t="s">
        <v>774</v>
      </c>
      <c r="J290" s="29">
        <v>7589466000</v>
      </c>
      <c r="K290" s="89">
        <v>117203976</v>
      </c>
      <c r="L290" s="26" t="s">
        <v>30</v>
      </c>
      <c r="M290" s="30" t="s">
        <v>623</v>
      </c>
      <c r="N290" s="31" t="s">
        <v>775</v>
      </c>
      <c r="O290" s="32"/>
      <c r="P290" s="32"/>
      <c r="Q290" s="31" t="s">
        <v>33</v>
      </c>
      <c r="R290" s="33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1:31" ht="27.6">
      <c r="A291" s="10"/>
      <c r="B291" s="17"/>
      <c r="C291" s="18" t="s">
        <v>34</v>
      </c>
      <c r="D291" s="19" t="s">
        <v>609</v>
      </c>
      <c r="E291" s="20" t="s">
        <v>53</v>
      </c>
      <c r="F291" s="19" t="s">
        <v>776</v>
      </c>
      <c r="G291" s="18" t="s">
        <v>611</v>
      </c>
      <c r="H291" s="22">
        <v>46021</v>
      </c>
      <c r="I291" s="71" t="s">
        <v>777</v>
      </c>
      <c r="J291" s="29">
        <v>7589466000</v>
      </c>
      <c r="K291" s="89">
        <v>14696400</v>
      </c>
      <c r="L291" s="26" t="s">
        <v>30</v>
      </c>
      <c r="M291" s="30" t="s">
        <v>778</v>
      </c>
      <c r="N291" s="31" t="s">
        <v>779</v>
      </c>
      <c r="O291" s="32"/>
      <c r="P291" s="32"/>
      <c r="Q291" s="31" t="s">
        <v>33</v>
      </c>
      <c r="R291" s="33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 ht="13.8">
      <c r="A292" s="10"/>
      <c r="B292" s="17"/>
      <c r="C292" s="18" t="s">
        <v>34</v>
      </c>
      <c r="D292" s="19" t="s">
        <v>609</v>
      </c>
      <c r="E292" s="20" t="s">
        <v>53</v>
      </c>
      <c r="F292" s="19" t="s">
        <v>780</v>
      </c>
      <c r="G292" s="18" t="s">
        <v>611</v>
      </c>
      <c r="H292" s="22">
        <v>46021</v>
      </c>
      <c r="I292" s="71" t="s">
        <v>619</v>
      </c>
      <c r="J292" s="29">
        <v>7589466000</v>
      </c>
      <c r="K292" s="90">
        <v>333000</v>
      </c>
      <c r="L292" s="26" t="s">
        <v>30</v>
      </c>
      <c r="M292" s="30" t="s">
        <v>781</v>
      </c>
      <c r="N292" s="31" t="s">
        <v>782</v>
      </c>
      <c r="O292" s="32"/>
      <c r="P292" s="32"/>
      <c r="Q292" s="31" t="s">
        <v>33</v>
      </c>
      <c r="R292" s="33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1:31" ht="13.8">
      <c r="A293" s="10"/>
      <c r="B293" s="17"/>
      <c r="C293" s="18" t="s">
        <v>34</v>
      </c>
      <c r="D293" s="19" t="s">
        <v>609</v>
      </c>
      <c r="E293" s="20" t="s">
        <v>53</v>
      </c>
      <c r="F293" s="19" t="s">
        <v>783</v>
      </c>
      <c r="G293" s="18" t="s">
        <v>611</v>
      </c>
      <c r="H293" s="22">
        <v>46021</v>
      </c>
      <c r="I293" s="71" t="s">
        <v>619</v>
      </c>
      <c r="J293" s="29">
        <v>7589466000</v>
      </c>
      <c r="K293" s="89">
        <v>645021</v>
      </c>
      <c r="L293" s="26" t="s">
        <v>30</v>
      </c>
      <c r="M293" s="30" t="s">
        <v>781</v>
      </c>
      <c r="N293" s="31" t="s">
        <v>784</v>
      </c>
      <c r="O293" s="32"/>
      <c r="P293" s="32"/>
      <c r="Q293" s="31" t="s">
        <v>33</v>
      </c>
      <c r="R293" s="33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1:31" ht="13.8">
      <c r="A294" s="10"/>
      <c r="B294" s="17"/>
      <c r="C294" s="18" t="s">
        <v>34</v>
      </c>
      <c r="D294" s="19" t="s">
        <v>609</v>
      </c>
      <c r="E294" s="20" t="s">
        <v>53</v>
      </c>
      <c r="F294" s="19" t="s">
        <v>785</v>
      </c>
      <c r="G294" s="18" t="s">
        <v>611</v>
      </c>
      <c r="H294" s="22">
        <v>46021</v>
      </c>
      <c r="I294" s="71" t="s">
        <v>619</v>
      </c>
      <c r="J294" s="29">
        <v>7589466000</v>
      </c>
      <c r="K294" s="89">
        <v>19112591</v>
      </c>
      <c r="L294" s="26" t="s">
        <v>30</v>
      </c>
      <c r="M294" s="30" t="s">
        <v>620</v>
      </c>
      <c r="N294" s="31" t="s">
        <v>786</v>
      </c>
      <c r="O294" s="32"/>
      <c r="P294" s="32"/>
      <c r="Q294" s="31" t="s">
        <v>33</v>
      </c>
      <c r="R294" s="33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spans="1:31" ht="13.8">
      <c r="A295" s="10"/>
      <c r="B295" s="17"/>
      <c r="C295" s="18" t="s">
        <v>34</v>
      </c>
      <c r="D295" s="19" t="s">
        <v>609</v>
      </c>
      <c r="E295" s="20" t="s">
        <v>53</v>
      </c>
      <c r="F295" s="19" t="s">
        <v>787</v>
      </c>
      <c r="G295" s="18" t="s">
        <v>611</v>
      </c>
      <c r="H295" s="22">
        <v>46021</v>
      </c>
      <c r="I295" s="71" t="s">
        <v>619</v>
      </c>
      <c r="J295" s="29">
        <v>7589466000</v>
      </c>
      <c r="K295" s="83">
        <v>1656173</v>
      </c>
      <c r="L295" s="26" t="s">
        <v>30</v>
      </c>
      <c r="M295" s="30" t="s">
        <v>640</v>
      </c>
      <c r="N295" s="31" t="s">
        <v>788</v>
      </c>
      <c r="O295" s="32"/>
      <c r="P295" s="32"/>
      <c r="Q295" s="31" t="s">
        <v>33</v>
      </c>
      <c r="R295" s="33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1:31" ht="27.6">
      <c r="A296" s="10"/>
      <c r="B296" s="17"/>
      <c r="C296" s="18" t="s">
        <v>34</v>
      </c>
      <c r="D296" s="19" t="s">
        <v>609</v>
      </c>
      <c r="E296" s="20" t="s">
        <v>53</v>
      </c>
      <c r="F296" s="19" t="s">
        <v>789</v>
      </c>
      <c r="G296" s="18" t="s">
        <v>611</v>
      </c>
      <c r="H296" s="22">
        <v>46021</v>
      </c>
      <c r="I296" s="71" t="s">
        <v>790</v>
      </c>
      <c r="J296" s="29">
        <v>7589466000</v>
      </c>
      <c r="K296" s="89">
        <v>3604392</v>
      </c>
      <c r="L296" s="26" t="s">
        <v>30</v>
      </c>
      <c r="M296" s="30" t="s">
        <v>640</v>
      </c>
      <c r="N296" s="31" t="s">
        <v>791</v>
      </c>
      <c r="O296" s="32"/>
      <c r="P296" s="32"/>
      <c r="Q296" s="31" t="s">
        <v>33</v>
      </c>
      <c r="R296" s="33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spans="1:31" ht="13.8">
      <c r="A297" s="10"/>
      <c r="B297" s="17"/>
      <c r="C297" s="18" t="s">
        <v>34</v>
      </c>
      <c r="D297" s="19" t="s">
        <v>609</v>
      </c>
      <c r="E297" s="20" t="s">
        <v>53</v>
      </c>
      <c r="F297" s="19" t="s">
        <v>792</v>
      </c>
      <c r="G297" s="18" t="s">
        <v>611</v>
      </c>
      <c r="H297" s="22">
        <v>46021</v>
      </c>
      <c r="I297" s="71" t="s">
        <v>619</v>
      </c>
      <c r="J297" s="29">
        <v>7589466000</v>
      </c>
      <c r="K297" s="83">
        <v>1268823</v>
      </c>
      <c r="L297" s="26" t="s">
        <v>30</v>
      </c>
      <c r="M297" s="30" t="s">
        <v>793</v>
      </c>
      <c r="N297" s="31" t="s">
        <v>794</v>
      </c>
      <c r="O297" s="32"/>
      <c r="P297" s="32"/>
      <c r="Q297" s="31" t="s">
        <v>33</v>
      </c>
      <c r="R297" s="33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spans="1:31" ht="13.8">
      <c r="A298" s="10"/>
      <c r="B298" s="17"/>
      <c r="C298" s="18" t="s">
        <v>34</v>
      </c>
      <c r="D298" s="19" t="s">
        <v>609</v>
      </c>
      <c r="E298" s="20" t="s">
        <v>53</v>
      </c>
      <c r="F298" s="19" t="s">
        <v>795</v>
      </c>
      <c r="G298" s="18" t="s">
        <v>611</v>
      </c>
      <c r="H298" s="22">
        <v>46021</v>
      </c>
      <c r="I298" s="71" t="s">
        <v>619</v>
      </c>
      <c r="J298" s="29">
        <v>7589466000</v>
      </c>
      <c r="K298" s="89">
        <v>8095230</v>
      </c>
      <c r="L298" s="26" t="s">
        <v>30</v>
      </c>
      <c r="M298" s="30" t="s">
        <v>796</v>
      </c>
      <c r="N298" s="31" t="s">
        <v>797</v>
      </c>
      <c r="O298" s="32"/>
      <c r="P298" s="32"/>
      <c r="Q298" s="31" t="s">
        <v>33</v>
      </c>
      <c r="R298" s="33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spans="1:31" ht="13.8">
      <c r="A299" s="10"/>
      <c r="B299" s="17"/>
      <c r="C299" s="18" t="s">
        <v>34</v>
      </c>
      <c r="D299" s="19" t="s">
        <v>609</v>
      </c>
      <c r="E299" s="20" t="s">
        <v>53</v>
      </c>
      <c r="F299" s="19" t="s">
        <v>798</v>
      </c>
      <c r="G299" s="18" t="s">
        <v>611</v>
      </c>
      <c r="H299" s="22">
        <v>46021</v>
      </c>
      <c r="I299" s="71" t="s">
        <v>619</v>
      </c>
      <c r="J299" s="29">
        <v>7589466000</v>
      </c>
      <c r="K299" s="89">
        <v>18392095</v>
      </c>
      <c r="L299" s="26" t="s">
        <v>30</v>
      </c>
      <c r="M299" s="30" t="s">
        <v>796</v>
      </c>
      <c r="N299" s="31" t="s">
        <v>799</v>
      </c>
      <c r="O299" s="32"/>
      <c r="P299" s="32"/>
      <c r="Q299" s="31" t="s">
        <v>33</v>
      </c>
      <c r="R299" s="33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spans="1:31" ht="13.8">
      <c r="A300" s="10"/>
      <c r="B300" s="17"/>
      <c r="C300" s="18" t="s">
        <v>34</v>
      </c>
      <c r="D300" s="19" t="s">
        <v>609</v>
      </c>
      <c r="E300" s="20" t="s">
        <v>53</v>
      </c>
      <c r="F300" s="19" t="s">
        <v>800</v>
      </c>
      <c r="G300" s="18" t="s">
        <v>611</v>
      </c>
      <c r="H300" s="22">
        <v>46021</v>
      </c>
      <c r="I300" s="71" t="s">
        <v>619</v>
      </c>
      <c r="J300" s="29">
        <v>7589466000</v>
      </c>
      <c r="K300" s="90" t="s">
        <v>801</v>
      </c>
      <c r="L300" s="26" t="s">
        <v>30</v>
      </c>
      <c r="M300" s="30" t="s">
        <v>796</v>
      </c>
      <c r="N300" s="31" t="s">
        <v>802</v>
      </c>
      <c r="O300" s="32"/>
      <c r="P300" s="32"/>
      <c r="Q300" s="31" t="s">
        <v>33</v>
      </c>
      <c r="R300" s="33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spans="1:31" ht="13.8">
      <c r="A301" s="10"/>
      <c r="B301" s="17"/>
      <c r="C301" s="18" t="s">
        <v>34</v>
      </c>
      <c r="D301" s="19" t="s">
        <v>609</v>
      </c>
      <c r="E301" s="20" t="s">
        <v>53</v>
      </c>
      <c r="F301" s="19" t="s">
        <v>803</v>
      </c>
      <c r="G301" s="18" t="s">
        <v>611</v>
      </c>
      <c r="H301" s="22">
        <v>46021</v>
      </c>
      <c r="I301" s="71" t="s">
        <v>619</v>
      </c>
      <c r="J301" s="29">
        <v>7589466000</v>
      </c>
      <c r="K301" s="83">
        <v>1831500</v>
      </c>
      <c r="L301" s="26" t="s">
        <v>30</v>
      </c>
      <c r="M301" s="91" t="s">
        <v>804</v>
      </c>
      <c r="N301" s="31" t="s">
        <v>805</v>
      </c>
      <c r="O301" s="32"/>
      <c r="P301" s="32"/>
      <c r="Q301" s="31" t="s">
        <v>33</v>
      </c>
      <c r="R301" s="33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1:31" ht="13.8">
      <c r="A302" s="10"/>
      <c r="B302" s="17"/>
      <c r="C302" s="18" t="s">
        <v>34</v>
      </c>
      <c r="D302" s="19" t="s">
        <v>609</v>
      </c>
      <c r="E302" s="20" t="s">
        <v>53</v>
      </c>
      <c r="F302" s="19" t="s">
        <v>806</v>
      </c>
      <c r="G302" s="18" t="s">
        <v>611</v>
      </c>
      <c r="H302" s="22">
        <v>46021</v>
      </c>
      <c r="I302" s="71" t="s">
        <v>619</v>
      </c>
      <c r="J302" s="29">
        <v>7589466000</v>
      </c>
      <c r="K302" s="84" t="s">
        <v>807</v>
      </c>
      <c r="L302" s="26" t="s">
        <v>30</v>
      </c>
      <c r="M302" s="30" t="s">
        <v>808</v>
      </c>
      <c r="N302" s="31" t="s">
        <v>809</v>
      </c>
      <c r="O302" s="32"/>
      <c r="P302" s="32"/>
      <c r="Q302" s="31" t="s">
        <v>33</v>
      </c>
      <c r="R302" s="33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spans="1:31" ht="13.8">
      <c r="A303" s="10"/>
      <c r="B303" s="17"/>
      <c r="C303" s="18" t="s">
        <v>34</v>
      </c>
      <c r="D303" s="19" t="s">
        <v>609</v>
      </c>
      <c r="E303" s="20" t="s">
        <v>53</v>
      </c>
      <c r="F303" s="19" t="s">
        <v>810</v>
      </c>
      <c r="G303" s="18" t="s">
        <v>611</v>
      </c>
      <c r="H303" s="22">
        <v>46021</v>
      </c>
      <c r="I303" s="71" t="s">
        <v>774</v>
      </c>
      <c r="J303" s="29">
        <v>7589466000</v>
      </c>
      <c r="K303" s="89" t="s">
        <v>811</v>
      </c>
      <c r="L303" s="26" t="s">
        <v>30</v>
      </c>
      <c r="M303" s="30" t="s">
        <v>808</v>
      </c>
      <c r="N303" s="31" t="s">
        <v>812</v>
      </c>
      <c r="O303" s="32"/>
      <c r="P303" s="32"/>
      <c r="Q303" s="31" t="s">
        <v>33</v>
      </c>
      <c r="R303" s="33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spans="1:31" ht="27.6">
      <c r="A304" s="10"/>
      <c r="B304" s="17"/>
      <c r="C304" s="18" t="s">
        <v>34</v>
      </c>
      <c r="D304" s="19" t="s">
        <v>609</v>
      </c>
      <c r="E304" s="20" t="s">
        <v>53</v>
      </c>
      <c r="F304" s="19" t="s">
        <v>813</v>
      </c>
      <c r="G304" s="18" t="s">
        <v>611</v>
      </c>
      <c r="H304" s="22">
        <v>46021</v>
      </c>
      <c r="I304" s="71" t="s">
        <v>777</v>
      </c>
      <c r="J304" s="29">
        <v>7589466000</v>
      </c>
      <c r="K304" s="89" t="s">
        <v>814</v>
      </c>
      <c r="L304" s="26" t="s">
        <v>30</v>
      </c>
      <c r="M304" s="30" t="s">
        <v>808</v>
      </c>
      <c r="N304" s="31" t="s">
        <v>815</v>
      </c>
      <c r="O304" s="32"/>
      <c r="P304" s="32"/>
      <c r="Q304" s="31" t="s">
        <v>33</v>
      </c>
      <c r="R304" s="33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spans="1:31" ht="13.8">
      <c r="A305" s="10"/>
      <c r="B305" s="17"/>
      <c r="C305" s="18" t="s">
        <v>34</v>
      </c>
      <c r="D305" s="19" t="s">
        <v>609</v>
      </c>
      <c r="E305" s="20" t="s">
        <v>53</v>
      </c>
      <c r="F305" s="19" t="s">
        <v>816</v>
      </c>
      <c r="G305" s="18" t="s">
        <v>611</v>
      </c>
      <c r="H305" s="22">
        <v>46021</v>
      </c>
      <c r="I305" s="71" t="s">
        <v>619</v>
      </c>
      <c r="J305" s="29">
        <v>7589466000</v>
      </c>
      <c r="K305" s="89" t="s">
        <v>817</v>
      </c>
      <c r="L305" s="26" t="s">
        <v>30</v>
      </c>
      <c r="M305" s="30" t="s">
        <v>808</v>
      </c>
      <c r="N305" s="31" t="s">
        <v>818</v>
      </c>
      <c r="O305" s="32"/>
      <c r="P305" s="32"/>
      <c r="Q305" s="31" t="s">
        <v>33</v>
      </c>
      <c r="R305" s="33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spans="1:31" ht="13.8">
      <c r="A306" s="10"/>
      <c r="B306" s="17"/>
      <c r="C306" s="18" t="s">
        <v>34</v>
      </c>
      <c r="D306" s="19" t="s">
        <v>609</v>
      </c>
      <c r="E306" s="20" t="s">
        <v>53</v>
      </c>
      <c r="F306" s="19" t="s">
        <v>819</v>
      </c>
      <c r="G306" s="18" t="s">
        <v>611</v>
      </c>
      <c r="H306" s="22">
        <v>46021</v>
      </c>
      <c r="I306" s="71" t="s">
        <v>619</v>
      </c>
      <c r="J306" s="29">
        <v>7589466000</v>
      </c>
      <c r="K306" s="89">
        <v>187500</v>
      </c>
      <c r="L306" s="26" t="s">
        <v>30</v>
      </c>
      <c r="M306" s="30" t="s">
        <v>808</v>
      </c>
      <c r="N306" s="31" t="s">
        <v>820</v>
      </c>
      <c r="O306" s="32"/>
      <c r="P306" s="32"/>
      <c r="Q306" s="31" t="s">
        <v>33</v>
      </c>
      <c r="R306" s="33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spans="1:31" ht="13.8">
      <c r="A307" s="10"/>
      <c r="B307" s="17"/>
      <c r="C307" s="18" t="s">
        <v>34</v>
      </c>
      <c r="D307" s="19" t="s">
        <v>609</v>
      </c>
      <c r="E307" s="20" t="s">
        <v>53</v>
      </c>
      <c r="F307" s="19" t="s">
        <v>821</v>
      </c>
      <c r="G307" s="18" t="s">
        <v>611</v>
      </c>
      <c r="H307" s="22">
        <v>46021</v>
      </c>
      <c r="I307" s="71" t="s">
        <v>619</v>
      </c>
      <c r="J307" s="29">
        <v>7589466000</v>
      </c>
      <c r="K307" s="89">
        <v>277500</v>
      </c>
      <c r="L307" s="26" t="s">
        <v>30</v>
      </c>
      <c r="M307" s="30" t="s">
        <v>808</v>
      </c>
      <c r="N307" s="31" t="s">
        <v>822</v>
      </c>
      <c r="O307" s="32"/>
      <c r="P307" s="32"/>
      <c r="Q307" s="31" t="s">
        <v>33</v>
      </c>
      <c r="R307" s="33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spans="1:31" ht="13.8">
      <c r="A308" s="10"/>
      <c r="B308" s="17"/>
      <c r="C308" s="18" t="s">
        <v>34</v>
      </c>
      <c r="D308" s="19" t="s">
        <v>609</v>
      </c>
      <c r="E308" s="20" t="s">
        <v>53</v>
      </c>
      <c r="F308" s="19" t="s">
        <v>823</v>
      </c>
      <c r="G308" s="18" t="s">
        <v>611</v>
      </c>
      <c r="H308" s="22">
        <v>46021</v>
      </c>
      <c r="I308" s="71" t="s">
        <v>619</v>
      </c>
      <c r="J308" s="29">
        <v>7589466000</v>
      </c>
      <c r="K308" s="89">
        <v>449550</v>
      </c>
      <c r="L308" s="26" t="s">
        <v>30</v>
      </c>
      <c r="M308" s="30" t="s">
        <v>808</v>
      </c>
      <c r="N308" s="31" t="s">
        <v>824</v>
      </c>
      <c r="O308" s="32"/>
      <c r="P308" s="32"/>
      <c r="Q308" s="31" t="s">
        <v>33</v>
      </c>
      <c r="R308" s="33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spans="1:31" ht="27.6">
      <c r="A309" s="10"/>
      <c r="B309" s="17"/>
      <c r="C309" s="18" t="s">
        <v>34</v>
      </c>
      <c r="D309" s="19" t="s">
        <v>609</v>
      </c>
      <c r="E309" s="20" t="s">
        <v>53</v>
      </c>
      <c r="F309" s="19" t="s">
        <v>825</v>
      </c>
      <c r="G309" s="18" t="s">
        <v>611</v>
      </c>
      <c r="H309" s="22">
        <v>46021</v>
      </c>
      <c r="I309" s="71" t="s">
        <v>790</v>
      </c>
      <c r="J309" s="29">
        <v>7589466000</v>
      </c>
      <c r="K309" s="89">
        <v>839993</v>
      </c>
      <c r="L309" s="26" t="s">
        <v>30</v>
      </c>
      <c r="M309" s="30" t="s">
        <v>808</v>
      </c>
      <c r="N309" s="31" t="s">
        <v>826</v>
      </c>
      <c r="O309" s="32"/>
      <c r="P309" s="32"/>
      <c r="Q309" s="31" t="s">
        <v>33</v>
      </c>
      <c r="R309" s="33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1:31" ht="13.8">
      <c r="A310" s="10"/>
      <c r="B310" s="17"/>
      <c r="C310" s="18" t="s">
        <v>34</v>
      </c>
      <c r="D310" s="19" t="s">
        <v>609</v>
      </c>
      <c r="E310" s="20" t="s">
        <v>53</v>
      </c>
      <c r="F310" s="19" t="s">
        <v>827</v>
      </c>
      <c r="G310" s="18" t="s">
        <v>611</v>
      </c>
      <c r="H310" s="22">
        <v>46021</v>
      </c>
      <c r="I310" s="71" t="s">
        <v>619</v>
      </c>
      <c r="J310" s="29">
        <v>7589466000</v>
      </c>
      <c r="K310" s="89">
        <v>765900</v>
      </c>
      <c r="L310" s="26" t="s">
        <v>30</v>
      </c>
      <c r="M310" s="30" t="s">
        <v>828</v>
      </c>
      <c r="N310" s="31" t="s">
        <v>829</v>
      </c>
      <c r="O310" s="32"/>
      <c r="P310" s="32"/>
      <c r="Q310" s="31" t="s">
        <v>33</v>
      </c>
      <c r="R310" s="33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spans="1:31" ht="13.8">
      <c r="A311" s="10"/>
      <c r="B311" s="17"/>
      <c r="C311" s="18" t="s">
        <v>34</v>
      </c>
      <c r="D311" s="19" t="s">
        <v>609</v>
      </c>
      <c r="E311" s="20" t="s">
        <v>53</v>
      </c>
      <c r="F311" s="19" t="s">
        <v>830</v>
      </c>
      <c r="G311" s="18" t="s">
        <v>611</v>
      </c>
      <c r="H311" s="22">
        <v>46021</v>
      </c>
      <c r="I311" s="71" t="s">
        <v>619</v>
      </c>
      <c r="J311" s="29">
        <v>7589466000</v>
      </c>
      <c r="K311" s="89" t="s">
        <v>831</v>
      </c>
      <c r="L311" s="26" t="s">
        <v>30</v>
      </c>
      <c r="M311" s="30" t="s">
        <v>656</v>
      </c>
      <c r="N311" s="31" t="s">
        <v>832</v>
      </c>
      <c r="O311" s="32"/>
      <c r="P311" s="32"/>
      <c r="Q311" s="31" t="s">
        <v>33</v>
      </c>
      <c r="R311" s="33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spans="1:31" ht="13.8">
      <c r="A312" s="10"/>
      <c r="B312" s="17"/>
      <c r="C312" s="18" t="s">
        <v>34</v>
      </c>
      <c r="D312" s="19" t="s">
        <v>609</v>
      </c>
      <c r="E312" s="20" t="s">
        <v>53</v>
      </c>
      <c r="F312" s="19" t="s">
        <v>833</v>
      </c>
      <c r="G312" s="18" t="s">
        <v>611</v>
      </c>
      <c r="H312" s="22">
        <v>46021</v>
      </c>
      <c r="I312" s="71" t="s">
        <v>619</v>
      </c>
      <c r="J312" s="29">
        <v>7589466000</v>
      </c>
      <c r="K312" s="51">
        <v>119880</v>
      </c>
      <c r="L312" s="26" t="s">
        <v>30</v>
      </c>
      <c r="M312" s="30" t="s">
        <v>656</v>
      </c>
      <c r="N312" s="31" t="s">
        <v>834</v>
      </c>
      <c r="O312" s="32"/>
      <c r="P312" s="32"/>
      <c r="Q312" s="31" t="s">
        <v>33</v>
      </c>
      <c r="R312" s="33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spans="1:31" ht="13.8">
      <c r="A313" s="10"/>
      <c r="B313" s="17"/>
      <c r="C313" s="18" t="s">
        <v>34</v>
      </c>
      <c r="D313" s="19" t="s">
        <v>609</v>
      </c>
      <c r="E313" s="20" t="s">
        <v>53</v>
      </c>
      <c r="F313" s="19" t="s">
        <v>835</v>
      </c>
      <c r="G313" s="18" t="s">
        <v>611</v>
      </c>
      <c r="H313" s="22">
        <v>46021</v>
      </c>
      <c r="I313" s="71" t="s">
        <v>619</v>
      </c>
      <c r="J313" s="29">
        <v>7589466000</v>
      </c>
      <c r="K313" s="89" t="s">
        <v>836</v>
      </c>
      <c r="L313" s="26" t="s">
        <v>30</v>
      </c>
      <c r="M313" s="30" t="s">
        <v>656</v>
      </c>
      <c r="N313" s="31" t="s">
        <v>837</v>
      </c>
      <c r="O313" s="32"/>
      <c r="P313" s="32"/>
      <c r="Q313" s="31" t="s">
        <v>33</v>
      </c>
      <c r="R313" s="33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 ht="13.8">
      <c r="A314" s="10"/>
      <c r="B314" s="17"/>
      <c r="C314" s="18" t="s">
        <v>34</v>
      </c>
      <c r="D314" s="19" t="s">
        <v>609</v>
      </c>
      <c r="E314" s="20" t="s">
        <v>53</v>
      </c>
      <c r="F314" s="19" t="s">
        <v>838</v>
      </c>
      <c r="G314" s="18" t="s">
        <v>611</v>
      </c>
      <c r="H314" s="22">
        <v>46021</v>
      </c>
      <c r="I314" s="71" t="s">
        <v>619</v>
      </c>
      <c r="J314" s="29">
        <v>7589466000</v>
      </c>
      <c r="K314" s="51">
        <v>412010</v>
      </c>
      <c r="L314" s="26" t="s">
        <v>30</v>
      </c>
      <c r="M314" s="30" t="s">
        <v>656</v>
      </c>
      <c r="N314" s="31" t="s">
        <v>839</v>
      </c>
      <c r="O314" s="32"/>
      <c r="P314" s="32"/>
      <c r="Q314" s="31" t="s">
        <v>33</v>
      </c>
      <c r="R314" s="33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1:31" ht="13.8">
      <c r="A315" s="10"/>
      <c r="B315" s="17"/>
      <c r="C315" s="18" t="s">
        <v>34</v>
      </c>
      <c r="D315" s="19" t="s">
        <v>609</v>
      </c>
      <c r="E315" s="20" t="s">
        <v>53</v>
      </c>
      <c r="F315" s="19" t="s">
        <v>840</v>
      </c>
      <c r="G315" s="18" t="s">
        <v>611</v>
      </c>
      <c r="H315" s="22">
        <v>46021</v>
      </c>
      <c r="I315" s="71" t="s">
        <v>619</v>
      </c>
      <c r="J315" s="29">
        <v>7589466000</v>
      </c>
      <c r="K315" s="90" t="s">
        <v>841</v>
      </c>
      <c r="L315" s="26" t="s">
        <v>30</v>
      </c>
      <c r="M315" s="30" t="s">
        <v>842</v>
      </c>
      <c r="N315" s="31" t="s">
        <v>843</v>
      </c>
      <c r="O315" s="32"/>
      <c r="P315" s="32"/>
      <c r="Q315" s="31" t="s">
        <v>33</v>
      </c>
      <c r="R315" s="33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spans="1:31" ht="13.8">
      <c r="A316" s="10"/>
      <c r="B316" s="17"/>
      <c r="C316" s="18" t="s">
        <v>34</v>
      </c>
      <c r="D316" s="19" t="s">
        <v>609</v>
      </c>
      <c r="E316" s="20" t="s">
        <v>53</v>
      </c>
      <c r="F316" s="19" t="s">
        <v>844</v>
      </c>
      <c r="G316" s="18" t="s">
        <v>611</v>
      </c>
      <c r="H316" s="22">
        <v>46021</v>
      </c>
      <c r="I316" s="71" t="s">
        <v>619</v>
      </c>
      <c r="J316" s="29">
        <v>7589466000</v>
      </c>
      <c r="K316" s="90">
        <v>620.00199999999995</v>
      </c>
      <c r="L316" s="26" t="s">
        <v>30</v>
      </c>
      <c r="M316" s="30" t="s">
        <v>677</v>
      </c>
      <c r="N316" s="31" t="s">
        <v>845</v>
      </c>
      <c r="O316" s="32"/>
      <c r="P316" s="32"/>
      <c r="Q316" s="31" t="s">
        <v>33</v>
      </c>
      <c r="R316" s="33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spans="1:31" ht="13.8">
      <c r="A317" s="10"/>
      <c r="B317" s="17"/>
      <c r="C317" s="18" t="s">
        <v>34</v>
      </c>
      <c r="D317" s="19" t="s">
        <v>609</v>
      </c>
      <c r="E317" s="20" t="s">
        <v>53</v>
      </c>
      <c r="F317" s="19" t="s">
        <v>846</v>
      </c>
      <c r="G317" s="18" t="s">
        <v>611</v>
      </c>
      <c r="H317" s="22">
        <v>46021</v>
      </c>
      <c r="I317" s="71" t="s">
        <v>619</v>
      </c>
      <c r="J317" s="29">
        <v>7589466000</v>
      </c>
      <c r="K317" s="90" t="s">
        <v>847</v>
      </c>
      <c r="L317" s="26" t="s">
        <v>30</v>
      </c>
      <c r="M317" s="30" t="s">
        <v>629</v>
      </c>
      <c r="N317" s="31" t="s">
        <v>848</v>
      </c>
      <c r="O317" s="32"/>
      <c r="P317" s="32"/>
      <c r="Q317" s="31" t="s">
        <v>33</v>
      </c>
      <c r="R317" s="33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spans="1:31" ht="13.8">
      <c r="A318" s="10"/>
      <c r="B318" s="17"/>
      <c r="C318" s="18" t="s">
        <v>34</v>
      </c>
      <c r="D318" s="19" t="s">
        <v>609</v>
      </c>
      <c r="E318" s="20" t="s">
        <v>53</v>
      </c>
      <c r="F318" s="19" t="s">
        <v>849</v>
      </c>
      <c r="G318" s="18" t="s">
        <v>611</v>
      </c>
      <c r="H318" s="22">
        <v>46021</v>
      </c>
      <c r="I318" s="71" t="s">
        <v>619</v>
      </c>
      <c r="J318" s="29">
        <v>7589466000</v>
      </c>
      <c r="K318" s="90" t="s">
        <v>850</v>
      </c>
      <c r="L318" s="26" t="s">
        <v>30</v>
      </c>
      <c r="M318" s="30" t="s">
        <v>629</v>
      </c>
      <c r="N318" s="31" t="s">
        <v>851</v>
      </c>
      <c r="O318" s="32"/>
      <c r="P318" s="32"/>
      <c r="Q318" s="31" t="s">
        <v>33</v>
      </c>
      <c r="R318" s="33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spans="1:31" ht="13.8">
      <c r="A319" s="10"/>
      <c r="B319" s="17"/>
      <c r="C319" s="18" t="s">
        <v>34</v>
      </c>
      <c r="D319" s="19" t="s">
        <v>609</v>
      </c>
      <c r="E319" s="20" t="s">
        <v>53</v>
      </c>
      <c r="F319" s="19" t="s">
        <v>852</v>
      </c>
      <c r="G319" s="18" t="s">
        <v>611</v>
      </c>
      <c r="H319" s="22">
        <v>46021</v>
      </c>
      <c r="I319" s="71" t="s">
        <v>619</v>
      </c>
      <c r="J319" s="29">
        <v>7589466000</v>
      </c>
      <c r="K319" s="90" t="s">
        <v>853</v>
      </c>
      <c r="L319" s="26" t="s">
        <v>30</v>
      </c>
      <c r="M319" s="30" t="s">
        <v>629</v>
      </c>
      <c r="N319" s="31" t="s">
        <v>854</v>
      </c>
      <c r="O319" s="32"/>
      <c r="P319" s="32"/>
      <c r="Q319" s="31" t="s">
        <v>33</v>
      </c>
      <c r="R319" s="33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spans="1:31" ht="13.8">
      <c r="A320" s="10"/>
      <c r="B320" s="17"/>
      <c r="C320" s="18" t="s">
        <v>34</v>
      </c>
      <c r="D320" s="19" t="s">
        <v>609</v>
      </c>
      <c r="E320" s="20" t="s">
        <v>53</v>
      </c>
      <c r="F320" s="19" t="s">
        <v>855</v>
      </c>
      <c r="G320" s="18" t="s">
        <v>611</v>
      </c>
      <c r="H320" s="22">
        <v>46021</v>
      </c>
      <c r="I320" s="71" t="s">
        <v>619</v>
      </c>
      <c r="J320" s="29">
        <v>7589466000</v>
      </c>
      <c r="K320" s="90" t="s">
        <v>856</v>
      </c>
      <c r="L320" s="26" t="s">
        <v>30</v>
      </c>
      <c r="M320" s="30" t="s">
        <v>629</v>
      </c>
      <c r="N320" s="31" t="s">
        <v>857</v>
      </c>
      <c r="O320" s="32"/>
      <c r="P320" s="32"/>
      <c r="Q320" s="31" t="s">
        <v>33</v>
      </c>
      <c r="R320" s="33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spans="1:31" ht="13.8">
      <c r="A321" s="10"/>
      <c r="B321" s="17"/>
      <c r="C321" s="18" t="s">
        <v>34</v>
      </c>
      <c r="D321" s="19" t="s">
        <v>609</v>
      </c>
      <c r="E321" s="20" t="s">
        <v>53</v>
      </c>
      <c r="F321" s="19" t="s">
        <v>858</v>
      </c>
      <c r="G321" s="18" t="s">
        <v>611</v>
      </c>
      <c r="H321" s="22">
        <v>46021</v>
      </c>
      <c r="I321" s="71" t="s">
        <v>619</v>
      </c>
      <c r="J321" s="29">
        <v>7589466000</v>
      </c>
      <c r="K321" s="90" t="s">
        <v>859</v>
      </c>
      <c r="L321" s="26" t="s">
        <v>30</v>
      </c>
      <c r="M321" s="30" t="s">
        <v>645</v>
      </c>
      <c r="N321" s="31" t="s">
        <v>860</v>
      </c>
      <c r="O321" s="32"/>
      <c r="P321" s="32"/>
      <c r="Q321" s="31" t="s">
        <v>33</v>
      </c>
      <c r="R321" s="33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spans="1:31" ht="13.8">
      <c r="A322" s="10"/>
      <c r="B322" s="17"/>
      <c r="C322" s="18" t="s">
        <v>34</v>
      </c>
      <c r="D322" s="19" t="s">
        <v>609</v>
      </c>
      <c r="E322" s="20" t="s">
        <v>53</v>
      </c>
      <c r="F322" s="19" t="s">
        <v>861</v>
      </c>
      <c r="G322" s="18" t="s">
        <v>611</v>
      </c>
      <c r="H322" s="22">
        <v>46021</v>
      </c>
      <c r="I322" s="71" t="s">
        <v>619</v>
      </c>
      <c r="J322" s="29">
        <v>7589466000</v>
      </c>
      <c r="K322" s="90" t="s">
        <v>862</v>
      </c>
      <c r="L322" s="26" t="s">
        <v>30</v>
      </c>
      <c r="M322" s="30" t="s">
        <v>645</v>
      </c>
      <c r="N322" s="31" t="s">
        <v>863</v>
      </c>
      <c r="O322" s="32"/>
      <c r="P322" s="32"/>
      <c r="Q322" s="31" t="s">
        <v>33</v>
      </c>
      <c r="R322" s="33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spans="1:31" ht="13.8">
      <c r="A323" s="10"/>
      <c r="B323" s="17"/>
      <c r="C323" s="18" t="s">
        <v>34</v>
      </c>
      <c r="D323" s="19" t="s">
        <v>609</v>
      </c>
      <c r="E323" s="20" t="s">
        <v>53</v>
      </c>
      <c r="F323" s="19" t="s">
        <v>864</v>
      </c>
      <c r="G323" s="18" t="s">
        <v>611</v>
      </c>
      <c r="H323" s="22">
        <v>46021</v>
      </c>
      <c r="I323" s="71" t="s">
        <v>619</v>
      </c>
      <c r="J323" s="29">
        <v>7589466000</v>
      </c>
      <c r="K323" s="90" t="s">
        <v>865</v>
      </c>
      <c r="L323" s="26" t="s">
        <v>30</v>
      </c>
      <c r="M323" s="30" t="s">
        <v>620</v>
      </c>
      <c r="N323" s="31" t="s">
        <v>866</v>
      </c>
      <c r="O323" s="32"/>
      <c r="P323" s="32"/>
      <c r="Q323" s="31" t="s">
        <v>33</v>
      </c>
      <c r="R323" s="33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spans="1:31" ht="13.8">
      <c r="A324" s="10"/>
      <c r="B324" s="17"/>
      <c r="C324" s="18" t="s">
        <v>34</v>
      </c>
      <c r="D324" s="19" t="s">
        <v>609</v>
      </c>
      <c r="E324" s="20" t="s">
        <v>53</v>
      </c>
      <c r="F324" s="19" t="s">
        <v>867</v>
      </c>
      <c r="G324" s="18" t="s">
        <v>611</v>
      </c>
      <c r="H324" s="22">
        <v>46021</v>
      </c>
      <c r="I324" s="71" t="s">
        <v>619</v>
      </c>
      <c r="J324" s="29">
        <v>7589466000</v>
      </c>
      <c r="K324" s="90">
        <v>521.97799999999995</v>
      </c>
      <c r="L324" s="26" t="s">
        <v>30</v>
      </c>
      <c r="M324" s="30" t="s">
        <v>626</v>
      </c>
      <c r="N324" s="31" t="s">
        <v>868</v>
      </c>
      <c r="O324" s="32"/>
      <c r="P324" s="32"/>
      <c r="Q324" s="31" t="s">
        <v>33</v>
      </c>
      <c r="R324" s="33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spans="1:31" ht="13.8">
      <c r="A325" s="10"/>
      <c r="B325" s="17"/>
      <c r="C325" s="18" t="s">
        <v>34</v>
      </c>
      <c r="D325" s="19" t="s">
        <v>609</v>
      </c>
      <c r="E325" s="20" t="s">
        <v>53</v>
      </c>
      <c r="F325" s="19" t="s">
        <v>869</v>
      </c>
      <c r="G325" s="18" t="s">
        <v>611</v>
      </c>
      <c r="H325" s="22">
        <v>46021</v>
      </c>
      <c r="I325" s="71" t="s">
        <v>619</v>
      </c>
      <c r="J325" s="29">
        <v>7589466000</v>
      </c>
      <c r="K325" s="90">
        <v>918.82500000000005</v>
      </c>
      <c r="L325" s="26" t="s">
        <v>30</v>
      </c>
      <c r="M325" s="30" t="s">
        <v>626</v>
      </c>
      <c r="N325" s="31" t="s">
        <v>870</v>
      </c>
      <c r="O325" s="32"/>
      <c r="P325" s="32"/>
      <c r="Q325" s="31" t="s">
        <v>33</v>
      </c>
      <c r="R325" s="33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spans="1:31" ht="13.8">
      <c r="A326" s="10"/>
      <c r="B326" s="17"/>
      <c r="C326" s="18" t="s">
        <v>34</v>
      </c>
      <c r="D326" s="19" t="s">
        <v>609</v>
      </c>
      <c r="E326" s="20" t="s">
        <v>53</v>
      </c>
      <c r="F326" s="19" t="s">
        <v>871</v>
      </c>
      <c r="G326" s="18" t="s">
        <v>611</v>
      </c>
      <c r="H326" s="22">
        <v>46021</v>
      </c>
      <c r="I326" s="71" t="s">
        <v>619</v>
      </c>
      <c r="J326" s="29">
        <v>7589466000</v>
      </c>
      <c r="K326" s="90" t="s">
        <v>872</v>
      </c>
      <c r="L326" s="26" t="s">
        <v>30</v>
      </c>
      <c r="M326" s="30" t="s">
        <v>724</v>
      </c>
      <c r="N326" s="31" t="s">
        <v>873</v>
      </c>
      <c r="O326" s="32"/>
      <c r="P326" s="32"/>
      <c r="Q326" s="31" t="s">
        <v>33</v>
      </c>
      <c r="R326" s="33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1:31" ht="27.6">
      <c r="A327" s="10"/>
      <c r="B327" s="17"/>
      <c r="C327" s="18" t="s">
        <v>34</v>
      </c>
      <c r="D327" s="19" t="s">
        <v>609</v>
      </c>
      <c r="E327" s="20" t="s">
        <v>53</v>
      </c>
      <c r="F327" s="19" t="s">
        <v>874</v>
      </c>
      <c r="G327" s="18" t="s">
        <v>611</v>
      </c>
      <c r="H327" s="22">
        <v>46021</v>
      </c>
      <c r="I327" s="71" t="s">
        <v>875</v>
      </c>
      <c r="J327" s="29">
        <v>7589466000</v>
      </c>
      <c r="K327" s="89" t="s">
        <v>876</v>
      </c>
      <c r="L327" s="26" t="s">
        <v>30</v>
      </c>
      <c r="M327" s="30" t="s">
        <v>724</v>
      </c>
      <c r="N327" s="31" t="s">
        <v>877</v>
      </c>
      <c r="O327" s="32"/>
      <c r="P327" s="32"/>
      <c r="Q327" s="31" t="s">
        <v>33</v>
      </c>
      <c r="R327" s="33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spans="1:31" ht="27.6">
      <c r="A328" s="10"/>
      <c r="B328" s="17"/>
      <c r="C328" s="18" t="s">
        <v>34</v>
      </c>
      <c r="D328" s="19" t="s">
        <v>609</v>
      </c>
      <c r="E328" s="20" t="s">
        <v>53</v>
      </c>
      <c r="F328" s="19" t="s">
        <v>878</v>
      </c>
      <c r="G328" s="18" t="s">
        <v>611</v>
      </c>
      <c r="H328" s="22">
        <v>46021</v>
      </c>
      <c r="I328" s="71" t="s">
        <v>875</v>
      </c>
      <c r="J328" s="29">
        <v>7589466000</v>
      </c>
      <c r="K328" s="89" t="s">
        <v>879</v>
      </c>
      <c r="L328" s="26" t="s">
        <v>30</v>
      </c>
      <c r="M328" s="30" t="s">
        <v>724</v>
      </c>
      <c r="N328" s="31" t="s">
        <v>880</v>
      </c>
      <c r="O328" s="32"/>
      <c r="P328" s="32"/>
      <c r="Q328" s="31" t="s">
        <v>33</v>
      </c>
      <c r="R328" s="33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spans="1:31" ht="27.6">
      <c r="A329" s="10"/>
      <c r="B329" s="17"/>
      <c r="C329" s="18" t="s">
        <v>34</v>
      </c>
      <c r="D329" s="19" t="s">
        <v>609</v>
      </c>
      <c r="E329" s="20" t="s">
        <v>53</v>
      </c>
      <c r="F329" s="19" t="s">
        <v>881</v>
      </c>
      <c r="G329" s="18" t="s">
        <v>611</v>
      </c>
      <c r="H329" s="22">
        <v>46021</v>
      </c>
      <c r="I329" s="71" t="s">
        <v>875</v>
      </c>
      <c r="J329" s="29">
        <v>7589466000</v>
      </c>
      <c r="K329" s="92">
        <v>153846</v>
      </c>
      <c r="L329" s="26" t="s">
        <v>30</v>
      </c>
      <c r="M329" s="30" t="s">
        <v>724</v>
      </c>
      <c r="N329" s="31" t="s">
        <v>882</v>
      </c>
      <c r="O329" s="32"/>
      <c r="P329" s="32"/>
      <c r="Q329" s="31" t="s">
        <v>33</v>
      </c>
      <c r="R329" s="33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 ht="27.6">
      <c r="A330" s="10"/>
      <c r="B330" s="17"/>
      <c r="C330" s="18" t="s">
        <v>34</v>
      </c>
      <c r="D330" s="19" t="s">
        <v>609</v>
      </c>
      <c r="E330" s="20" t="s">
        <v>53</v>
      </c>
      <c r="F330" s="19" t="s">
        <v>883</v>
      </c>
      <c r="G330" s="18" t="s">
        <v>611</v>
      </c>
      <c r="H330" s="22">
        <v>46021</v>
      </c>
      <c r="I330" s="71" t="s">
        <v>875</v>
      </c>
      <c r="J330" s="29">
        <v>7589466000</v>
      </c>
      <c r="K330" s="89">
        <v>199034</v>
      </c>
      <c r="L330" s="26" t="s">
        <v>30</v>
      </c>
      <c r="M330" s="30" t="s">
        <v>724</v>
      </c>
      <c r="N330" s="31" t="s">
        <v>884</v>
      </c>
      <c r="O330" s="32"/>
      <c r="P330" s="32"/>
      <c r="Q330" s="31" t="s">
        <v>33</v>
      </c>
      <c r="R330" s="33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spans="1:31" ht="27.6">
      <c r="A331" s="10"/>
      <c r="B331" s="17"/>
      <c r="C331" s="18" t="s">
        <v>34</v>
      </c>
      <c r="D331" s="19" t="s">
        <v>609</v>
      </c>
      <c r="E331" s="20" t="s">
        <v>53</v>
      </c>
      <c r="F331" s="19" t="s">
        <v>885</v>
      </c>
      <c r="G331" s="18" t="s">
        <v>611</v>
      </c>
      <c r="H331" s="22">
        <v>46021</v>
      </c>
      <c r="I331" s="71" t="s">
        <v>875</v>
      </c>
      <c r="J331" s="29">
        <v>7589466000</v>
      </c>
      <c r="K331" s="89" t="s">
        <v>886</v>
      </c>
      <c r="L331" s="26" t="s">
        <v>30</v>
      </c>
      <c r="M331" s="30" t="s">
        <v>640</v>
      </c>
      <c r="N331" s="31" t="s">
        <v>887</v>
      </c>
      <c r="O331" s="32"/>
      <c r="P331" s="32"/>
      <c r="Q331" s="31" t="s">
        <v>33</v>
      </c>
      <c r="R331" s="33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spans="1:31" ht="27.6">
      <c r="A332" s="10"/>
      <c r="B332" s="17"/>
      <c r="C332" s="18" t="s">
        <v>34</v>
      </c>
      <c r="D332" s="19" t="s">
        <v>609</v>
      </c>
      <c r="E332" s="20" t="s">
        <v>53</v>
      </c>
      <c r="F332" s="19" t="s">
        <v>888</v>
      </c>
      <c r="G332" s="18" t="s">
        <v>611</v>
      </c>
      <c r="H332" s="22">
        <v>46021</v>
      </c>
      <c r="I332" s="71" t="s">
        <v>875</v>
      </c>
      <c r="J332" s="29">
        <v>7589466000</v>
      </c>
      <c r="K332" s="89" t="s">
        <v>889</v>
      </c>
      <c r="L332" s="26" t="s">
        <v>30</v>
      </c>
      <c r="M332" s="30" t="s">
        <v>640</v>
      </c>
      <c r="N332" s="31" t="s">
        <v>890</v>
      </c>
      <c r="O332" s="32"/>
      <c r="P332" s="32"/>
      <c r="Q332" s="31" t="s">
        <v>33</v>
      </c>
      <c r="R332" s="33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spans="1:31" ht="27.6">
      <c r="A333" s="10"/>
      <c r="B333" s="17"/>
      <c r="C333" s="18" t="s">
        <v>34</v>
      </c>
      <c r="D333" s="19" t="s">
        <v>609</v>
      </c>
      <c r="E333" s="20" t="s">
        <v>53</v>
      </c>
      <c r="F333" s="19" t="s">
        <v>891</v>
      </c>
      <c r="G333" s="18" t="s">
        <v>611</v>
      </c>
      <c r="H333" s="22">
        <v>46021</v>
      </c>
      <c r="I333" s="71" t="s">
        <v>875</v>
      </c>
      <c r="J333" s="29">
        <v>7589466000</v>
      </c>
      <c r="K333" s="89" t="s">
        <v>892</v>
      </c>
      <c r="L333" s="26" t="s">
        <v>30</v>
      </c>
      <c r="M333" s="30" t="s">
        <v>640</v>
      </c>
      <c r="N333" s="31" t="s">
        <v>893</v>
      </c>
      <c r="O333" s="32"/>
      <c r="P333" s="32"/>
      <c r="Q333" s="31" t="s">
        <v>33</v>
      </c>
      <c r="R333" s="33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spans="1:31" ht="27.6">
      <c r="A334" s="10"/>
      <c r="B334" s="17"/>
      <c r="C334" s="18" t="s">
        <v>34</v>
      </c>
      <c r="D334" s="19" t="s">
        <v>609</v>
      </c>
      <c r="E334" s="20" t="s">
        <v>53</v>
      </c>
      <c r="F334" s="19" t="s">
        <v>894</v>
      </c>
      <c r="G334" s="18" t="s">
        <v>611</v>
      </c>
      <c r="H334" s="22">
        <v>46021</v>
      </c>
      <c r="I334" s="71" t="s">
        <v>875</v>
      </c>
      <c r="J334" s="29">
        <v>7589466000</v>
      </c>
      <c r="K334" s="89" t="s">
        <v>895</v>
      </c>
      <c r="L334" s="26" t="s">
        <v>30</v>
      </c>
      <c r="M334" s="30" t="s">
        <v>640</v>
      </c>
      <c r="N334" s="31" t="s">
        <v>896</v>
      </c>
      <c r="O334" s="32"/>
      <c r="P334" s="32"/>
      <c r="Q334" s="31" t="s">
        <v>33</v>
      </c>
      <c r="R334" s="33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spans="1:31" ht="27.6">
      <c r="A335" s="10"/>
      <c r="B335" s="17"/>
      <c r="C335" s="18" t="s">
        <v>34</v>
      </c>
      <c r="D335" s="19" t="s">
        <v>609</v>
      </c>
      <c r="E335" s="20" t="s">
        <v>53</v>
      </c>
      <c r="F335" s="19" t="s">
        <v>897</v>
      </c>
      <c r="G335" s="18" t="s">
        <v>611</v>
      </c>
      <c r="H335" s="22">
        <v>46021</v>
      </c>
      <c r="I335" s="71" t="s">
        <v>875</v>
      </c>
      <c r="J335" s="29">
        <v>7589466000</v>
      </c>
      <c r="K335" s="89" t="s">
        <v>898</v>
      </c>
      <c r="L335" s="26" t="s">
        <v>30</v>
      </c>
      <c r="M335" s="30" t="s">
        <v>640</v>
      </c>
      <c r="N335" s="31" t="s">
        <v>899</v>
      </c>
      <c r="O335" s="32"/>
      <c r="P335" s="32"/>
      <c r="Q335" s="31" t="s">
        <v>33</v>
      </c>
      <c r="R335" s="33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spans="1:31" ht="27.6">
      <c r="A336" s="10"/>
      <c r="B336" s="17"/>
      <c r="C336" s="18" t="s">
        <v>34</v>
      </c>
      <c r="D336" s="19" t="s">
        <v>609</v>
      </c>
      <c r="E336" s="20" t="s">
        <v>53</v>
      </c>
      <c r="F336" s="19" t="s">
        <v>900</v>
      </c>
      <c r="G336" s="18" t="s">
        <v>611</v>
      </c>
      <c r="H336" s="22">
        <v>46021</v>
      </c>
      <c r="I336" s="71" t="s">
        <v>875</v>
      </c>
      <c r="J336" s="29">
        <v>7589466000</v>
      </c>
      <c r="K336" s="89">
        <v>83652</v>
      </c>
      <c r="L336" s="26" t="s">
        <v>30</v>
      </c>
      <c r="M336" s="30" t="s">
        <v>640</v>
      </c>
      <c r="N336" s="31" t="s">
        <v>901</v>
      </c>
      <c r="O336" s="32"/>
      <c r="P336" s="32"/>
      <c r="Q336" s="31" t="s">
        <v>33</v>
      </c>
      <c r="R336" s="33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spans="1:31" ht="27.6">
      <c r="A337" s="10"/>
      <c r="B337" s="17"/>
      <c r="C337" s="18" t="s">
        <v>34</v>
      </c>
      <c r="D337" s="19" t="s">
        <v>609</v>
      </c>
      <c r="E337" s="20" t="s">
        <v>53</v>
      </c>
      <c r="F337" s="19" t="s">
        <v>902</v>
      </c>
      <c r="G337" s="18" t="s">
        <v>611</v>
      </c>
      <c r="H337" s="22">
        <v>46021</v>
      </c>
      <c r="I337" s="71" t="s">
        <v>875</v>
      </c>
      <c r="J337" s="29">
        <v>7589466000</v>
      </c>
      <c r="K337" s="89">
        <v>620628</v>
      </c>
      <c r="L337" s="26" t="s">
        <v>30</v>
      </c>
      <c r="M337" s="30" t="s">
        <v>640</v>
      </c>
      <c r="N337" s="31" t="s">
        <v>903</v>
      </c>
      <c r="O337" s="32"/>
      <c r="P337" s="32"/>
      <c r="Q337" s="31" t="s">
        <v>33</v>
      </c>
      <c r="R337" s="33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spans="1:31" ht="27.6">
      <c r="A338" s="10"/>
      <c r="B338" s="17"/>
      <c r="C338" s="18" t="s">
        <v>34</v>
      </c>
      <c r="D338" s="19" t="s">
        <v>609</v>
      </c>
      <c r="E338" s="20" t="s">
        <v>53</v>
      </c>
      <c r="F338" s="19" t="s">
        <v>904</v>
      </c>
      <c r="G338" s="18" t="s">
        <v>611</v>
      </c>
      <c r="H338" s="22">
        <v>46021</v>
      </c>
      <c r="I338" s="71" t="s">
        <v>875</v>
      </c>
      <c r="J338" s="29">
        <v>7589466000</v>
      </c>
      <c r="K338" s="89">
        <v>732966</v>
      </c>
      <c r="L338" s="26" t="s">
        <v>30</v>
      </c>
      <c r="M338" s="30" t="s">
        <v>640</v>
      </c>
      <c r="N338" s="31" t="s">
        <v>905</v>
      </c>
      <c r="O338" s="32"/>
      <c r="P338" s="32"/>
      <c r="Q338" s="31" t="s">
        <v>33</v>
      </c>
      <c r="R338" s="33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spans="1:31" ht="27.6">
      <c r="A339" s="10"/>
      <c r="B339" s="17"/>
      <c r="C339" s="18" t="s">
        <v>34</v>
      </c>
      <c r="D339" s="19" t="s">
        <v>609</v>
      </c>
      <c r="E339" s="20" t="s">
        <v>53</v>
      </c>
      <c r="F339" s="19" t="s">
        <v>906</v>
      </c>
      <c r="G339" s="18" t="s">
        <v>611</v>
      </c>
      <c r="H339" s="22">
        <v>46021</v>
      </c>
      <c r="I339" s="71" t="s">
        <v>907</v>
      </c>
      <c r="J339" s="29">
        <v>7589466000</v>
      </c>
      <c r="K339" s="92">
        <v>741520</v>
      </c>
      <c r="L339" s="26" t="s">
        <v>30</v>
      </c>
      <c r="M339" s="30" t="s">
        <v>640</v>
      </c>
      <c r="N339" s="31" t="s">
        <v>905</v>
      </c>
      <c r="O339" s="32"/>
      <c r="P339" s="32"/>
      <c r="Q339" s="31" t="s">
        <v>33</v>
      </c>
      <c r="R339" s="33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spans="1:31" ht="27.6">
      <c r="A340" s="10"/>
      <c r="B340" s="17"/>
      <c r="C340" s="18" t="s">
        <v>34</v>
      </c>
      <c r="D340" s="19" t="s">
        <v>609</v>
      </c>
      <c r="E340" s="20" t="s">
        <v>53</v>
      </c>
      <c r="F340" s="19" t="s">
        <v>906</v>
      </c>
      <c r="G340" s="18" t="s">
        <v>611</v>
      </c>
      <c r="H340" s="22">
        <v>46021</v>
      </c>
      <c r="I340" s="71" t="s">
        <v>907</v>
      </c>
      <c r="J340" s="29">
        <v>7589466000</v>
      </c>
      <c r="K340" s="83" t="s">
        <v>908</v>
      </c>
      <c r="L340" s="26" t="s">
        <v>30</v>
      </c>
      <c r="M340" s="93" t="s">
        <v>909</v>
      </c>
      <c r="N340" s="31" t="s">
        <v>910</v>
      </c>
      <c r="O340" s="32"/>
      <c r="P340" s="32"/>
      <c r="Q340" s="31" t="s">
        <v>33</v>
      </c>
      <c r="R340" s="33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spans="1:31" ht="27.6">
      <c r="A341" s="10"/>
      <c r="B341" s="17"/>
      <c r="C341" s="18" t="s">
        <v>34</v>
      </c>
      <c r="D341" s="19" t="s">
        <v>609</v>
      </c>
      <c r="E341" s="20" t="s">
        <v>53</v>
      </c>
      <c r="F341" s="19" t="s">
        <v>906</v>
      </c>
      <c r="G341" s="18" t="s">
        <v>611</v>
      </c>
      <c r="H341" s="22">
        <v>46021</v>
      </c>
      <c r="I341" s="71" t="s">
        <v>907</v>
      </c>
      <c r="J341" s="29">
        <v>7589466000</v>
      </c>
      <c r="K341" s="92">
        <v>275391</v>
      </c>
      <c r="L341" s="26" t="s">
        <v>30</v>
      </c>
      <c r="M341" s="93" t="s">
        <v>909</v>
      </c>
      <c r="N341" s="31" t="s">
        <v>911</v>
      </c>
      <c r="O341" s="32"/>
      <c r="P341" s="32"/>
      <c r="Q341" s="31" t="s">
        <v>33</v>
      </c>
      <c r="R341" s="33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spans="1:31" ht="27.6">
      <c r="A342" s="10"/>
      <c r="B342" s="17"/>
      <c r="C342" s="18" t="s">
        <v>34</v>
      </c>
      <c r="D342" s="19" t="s">
        <v>609</v>
      </c>
      <c r="E342" s="20" t="s">
        <v>53</v>
      </c>
      <c r="F342" s="19" t="s">
        <v>906</v>
      </c>
      <c r="G342" s="18" t="s">
        <v>611</v>
      </c>
      <c r="H342" s="22">
        <v>46021</v>
      </c>
      <c r="I342" s="71" t="s">
        <v>907</v>
      </c>
      <c r="J342" s="29">
        <v>7589466000</v>
      </c>
      <c r="K342" s="83" t="s">
        <v>912</v>
      </c>
      <c r="L342" s="26" t="s">
        <v>30</v>
      </c>
      <c r="M342" s="93" t="s">
        <v>913</v>
      </c>
      <c r="N342" s="31" t="s">
        <v>914</v>
      </c>
      <c r="O342" s="32"/>
      <c r="P342" s="32"/>
      <c r="Q342" s="31" t="s">
        <v>33</v>
      </c>
      <c r="R342" s="33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spans="1:31" ht="27.6">
      <c r="A343" s="10"/>
      <c r="B343" s="17"/>
      <c r="C343" s="18" t="s">
        <v>34</v>
      </c>
      <c r="D343" s="19" t="s">
        <v>609</v>
      </c>
      <c r="E343" s="20" t="s">
        <v>53</v>
      </c>
      <c r="F343" s="19" t="s">
        <v>906</v>
      </c>
      <c r="G343" s="18" t="s">
        <v>611</v>
      </c>
      <c r="H343" s="22">
        <v>46021</v>
      </c>
      <c r="I343" s="71" t="s">
        <v>907</v>
      </c>
      <c r="J343" s="29">
        <v>7589466000</v>
      </c>
      <c r="K343" s="83" t="s">
        <v>915</v>
      </c>
      <c r="L343" s="26" t="s">
        <v>30</v>
      </c>
      <c r="M343" s="93" t="s">
        <v>913</v>
      </c>
      <c r="N343" s="31" t="s">
        <v>916</v>
      </c>
      <c r="O343" s="32"/>
      <c r="P343" s="32"/>
      <c r="Q343" s="31" t="s">
        <v>33</v>
      </c>
      <c r="R343" s="33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spans="1:31" ht="13.8">
      <c r="A344" s="10"/>
      <c r="B344" s="17"/>
      <c r="C344" s="18" t="s">
        <v>34</v>
      </c>
      <c r="D344" s="19" t="s">
        <v>609</v>
      </c>
      <c r="E344" s="20" t="s">
        <v>53</v>
      </c>
      <c r="F344" s="19" t="s">
        <v>906</v>
      </c>
      <c r="G344" s="18" t="s">
        <v>611</v>
      </c>
      <c r="H344" s="22">
        <v>46021</v>
      </c>
      <c r="I344" s="91" t="s">
        <v>917</v>
      </c>
      <c r="J344" s="29" t="s">
        <v>918</v>
      </c>
      <c r="K344" s="83" t="s">
        <v>919</v>
      </c>
      <c r="L344" s="26" t="s">
        <v>30</v>
      </c>
      <c r="M344" s="93" t="s">
        <v>920</v>
      </c>
      <c r="N344" s="31" t="s">
        <v>921</v>
      </c>
      <c r="O344" s="32"/>
      <c r="P344" s="32"/>
      <c r="Q344" s="31" t="s">
        <v>33</v>
      </c>
      <c r="R344" s="33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 ht="13.8">
      <c r="A345" s="10"/>
      <c r="B345" s="17"/>
      <c r="C345" s="18" t="s">
        <v>34</v>
      </c>
      <c r="D345" s="19" t="s">
        <v>609</v>
      </c>
      <c r="E345" s="20" t="s">
        <v>53</v>
      </c>
      <c r="F345" s="19" t="s">
        <v>906</v>
      </c>
      <c r="G345" s="18" t="s">
        <v>611</v>
      </c>
      <c r="H345" s="22">
        <v>46021</v>
      </c>
      <c r="I345" s="91" t="s">
        <v>922</v>
      </c>
      <c r="J345" s="29" t="s">
        <v>923</v>
      </c>
      <c r="K345" s="83" t="s">
        <v>924</v>
      </c>
      <c r="L345" s="26" t="s">
        <v>30</v>
      </c>
      <c r="M345" s="93" t="s">
        <v>925</v>
      </c>
      <c r="N345" s="31" t="s">
        <v>926</v>
      </c>
      <c r="O345" s="32"/>
      <c r="P345" s="32"/>
      <c r="Q345" s="31" t="s">
        <v>33</v>
      </c>
      <c r="R345" s="33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spans="1:31" ht="13.8">
      <c r="A346" s="10"/>
      <c r="B346" s="17"/>
      <c r="C346" s="18" t="s">
        <v>34</v>
      </c>
      <c r="D346" s="19" t="s">
        <v>609</v>
      </c>
      <c r="E346" s="20" t="s">
        <v>53</v>
      </c>
      <c r="F346" s="19" t="s">
        <v>906</v>
      </c>
      <c r="G346" s="18" t="s">
        <v>611</v>
      </c>
      <c r="H346" s="22">
        <v>46021</v>
      </c>
      <c r="I346" s="91" t="s">
        <v>927</v>
      </c>
      <c r="J346" s="29" t="s">
        <v>923</v>
      </c>
      <c r="K346" s="83" t="s">
        <v>603</v>
      </c>
      <c r="L346" s="26" t="s">
        <v>30</v>
      </c>
      <c r="M346" s="93" t="s">
        <v>604</v>
      </c>
      <c r="N346" s="31" t="s">
        <v>605</v>
      </c>
      <c r="O346" s="32"/>
      <c r="P346" s="32"/>
      <c r="Q346" s="31" t="s">
        <v>33</v>
      </c>
      <c r="R346" s="33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spans="1:31" ht="13.8">
      <c r="A347" s="10"/>
      <c r="B347" s="17"/>
      <c r="C347" s="18" t="s">
        <v>34</v>
      </c>
      <c r="D347" s="19" t="s">
        <v>609</v>
      </c>
      <c r="E347" s="20" t="s">
        <v>53</v>
      </c>
      <c r="F347" s="19" t="s">
        <v>906</v>
      </c>
      <c r="G347" s="18" t="s">
        <v>611</v>
      </c>
      <c r="H347" s="22">
        <v>46021</v>
      </c>
      <c r="I347" s="91" t="s">
        <v>928</v>
      </c>
      <c r="J347" s="29" t="s">
        <v>923</v>
      </c>
      <c r="K347" s="83" t="s">
        <v>929</v>
      </c>
      <c r="L347" s="26" t="s">
        <v>30</v>
      </c>
      <c r="M347" s="93" t="s">
        <v>607</v>
      </c>
      <c r="N347" s="31" t="s">
        <v>930</v>
      </c>
      <c r="O347" s="32"/>
      <c r="P347" s="32"/>
      <c r="Q347" s="31" t="s">
        <v>33</v>
      </c>
      <c r="R347" s="33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spans="1:31" ht="13.8">
      <c r="A348" s="10"/>
      <c r="B348" s="17"/>
      <c r="C348" s="18" t="s">
        <v>34</v>
      </c>
      <c r="D348" s="19" t="s">
        <v>609</v>
      </c>
      <c r="E348" s="20" t="s">
        <v>53</v>
      </c>
      <c r="F348" s="19" t="s">
        <v>906</v>
      </c>
      <c r="G348" s="18" t="s">
        <v>611</v>
      </c>
      <c r="H348" s="22">
        <v>46021</v>
      </c>
      <c r="I348" s="91" t="s">
        <v>931</v>
      </c>
      <c r="J348" s="29" t="s">
        <v>923</v>
      </c>
      <c r="K348" s="83" t="s">
        <v>932</v>
      </c>
      <c r="L348" s="26" t="s">
        <v>30</v>
      </c>
      <c r="M348" s="93" t="s">
        <v>607</v>
      </c>
      <c r="N348" s="31" t="s">
        <v>933</v>
      </c>
      <c r="O348" s="32"/>
      <c r="P348" s="32"/>
      <c r="Q348" s="31" t="s">
        <v>33</v>
      </c>
      <c r="R348" s="33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spans="1:31" ht="13.8">
      <c r="A349" s="10"/>
      <c r="B349" s="17"/>
      <c r="C349" s="18" t="s">
        <v>34</v>
      </c>
      <c r="D349" s="19" t="s">
        <v>609</v>
      </c>
      <c r="E349" s="20" t="s">
        <v>53</v>
      </c>
      <c r="F349" s="19" t="s">
        <v>906</v>
      </c>
      <c r="G349" s="18" t="s">
        <v>611</v>
      </c>
      <c r="H349" s="22">
        <v>46021</v>
      </c>
      <c r="I349" s="93" t="s">
        <v>934</v>
      </c>
      <c r="J349" s="29" t="s">
        <v>923</v>
      </c>
      <c r="K349" s="83" t="s">
        <v>935</v>
      </c>
      <c r="L349" s="26" t="s">
        <v>30</v>
      </c>
      <c r="M349" s="93" t="s">
        <v>607</v>
      </c>
      <c r="N349" s="31" t="s">
        <v>608</v>
      </c>
      <c r="O349" s="32"/>
      <c r="P349" s="32"/>
      <c r="Q349" s="31"/>
      <c r="R349" s="33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1:31" ht="27.6">
      <c r="A350" s="10"/>
      <c r="B350" s="17"/>
      <c r="C350" s="18" t="s">
        <v>299</v>
      </c>
      <c r="D350" s="19" t="s">
        <v>243</v>
      </c>
      <c r="E350" s="20" t="s">
        <v>244</v>
      </c>
      <c r="F350" s="19">
        <v>76070300</v>
      </c>
      <c r="G350" s="19" t="s">
        <v>936</v>
      </c>
      <c r="H350" s="22">
        <v>46049</v>
      </c>
      <c r="I350" s="68" t="s">
        <v>937</v>
      </c>
      <c r="J350" s="29">
        <v>206100000</v>
      </c>
      <c r="K350" s="94">
        <v>204739500</v>
      </c>
      <c r="L350" s="19" t="s">
        <v>938</v>
      </c>
      <c r="M350" s="30" t="s">
        <v>939</v>
      </c>
      <c r="N350" s="31" t="s">
        <v>940</v>
      </c>
      <c r="O350" s="32"/>
      <c r="P350" s="32"/>
      <c r="Q350" s="31" t="s">
        <v>33</v>
      </c>
      <c r="R350" s="33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spans="1:31" ht="27.6">
      <c r="A351" s="10"/>
      <c r="B351" s="17"/>
      <c r="C351" s="18" t="s">
        <v>299</v>
      </c>
      <c r="D351" s="19" t="s">
        <v>941</v>
      </c>
      <c r="E351" s="20" t="s">
        <v>124</v>
      </c>
      <c r="F351" s="19">
        <v>87100049</v>
      </c>
      <c r="G351" s="19" t="s">
        <v>936</v>
      </c>
      <c r="H351" s="22">
        <v>46049</v>
      </c>
      <c r="I351" s="68" t="s">
        <v>942</v>
      </c>
      <c r="J351" s="29">
        <v>206100000</v>
      </c>
      <c r="K351" s="94">
        <v>204739500</v>
      </c>
      <c r="L351" s="19" t="s">
        <v>938</v>
      </c>
      <c r="M351" s="30" t="s">
        <v>939</v>
      </c>
      <c r="N351" s="31" t="s">
        <v>940</v>
      </c>
      <c r="O351" s="32"/>
      <c r="P351" s="32"/>
      <c r="Q351" s="31" t="s">
        <v>33</v>
      </c>
      <c r="R351" s="33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spans="1:31" ht="27.6">
      <c r="A352" s="10"/>
      <c r="B352" s="17"/>
      <c r="C352" s="18" t="s">
        <v>299</v>
      </c>
      <c r="D352" s="19" t="s">
        <v>943</v>
      </c>
      <c r="E352" s="20" t="s">
        <v>36</v>
      </c>
      <c r="F352" s="19">
        <v>97050765</v>
      </c>
      <c r="G352" s="19" t="s">
        <v>936</v>
      </c>
      <c r="H352" s="22">
        <v>46049</v>
      </c>
      <c r="I352" s="68" t="s">
        <v>944</v>
      </c>
      <c r="J352" s="29">
        <v>206100000</v>
      </c>
      <c r="K352" s="94">
        <v>204739500</v>
      </c>
      <c r="L352" s="19" t="s">
        <v>938</v>
      </c>
      <c r="M352" s="30" t="s">
        <v>939</v>
      </c>
      <c r="N352" s="31" t="s">
        <v>940</v>
      </c>
      <c r="O352" s="32"/>
      <c r="P352" s="32"/>
      <c r="Q352" s="31" t="s">
        <v>33</v>
      </c>
      <c r="R352" s="33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 ht="27.6">
      <c r="A353" s="10"/>
      <c r="B353" s="17"/>
      <c r="C353" s="18" t="s">
        <v>34</v>
      </c>
      <c r="D353" s="19" t="s">
        <v>945</v>
      </c>
      <c r="E353" s="20" t="s">
        <v>164</v>
      </c>
      <c r="F353" s="19">
        <v>77030741</v>
      </c>
      <c r="G353" s="30" t="s">
        <v>946</v>
      </c>
      <c r="H353" s="22">
        <v>46386</v>
      </c>
      <c r="I353" s="28" t="s">
        <v>947</v>
      </c>
      <c r="J353" s="29">
        <v>128490000</v>
      </c>
      <c r="K353" s="95">
        <v>99633600</v>
      </c>
      <c r="L353" s="26" t="s">
        <v>231</v>
      </c>
      <c r="M353" s="30" t="s">
        <v>948</v>
      </c>
      <c r="N353" s="31" t="s">
        <v>949</v>
      </c>
      <c r="O353" s="32"/>
      <c r="P353" s="32"/>
      <c r="Q353" s="31" t="s">
        <v>33</v>
      </c>
      <c r="R353" s="33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spans="1:31" ht="27.6">
      <c r="A354" s="10"/>
      <c r="B354" s="17"/>
      <c r="C354" s="18" t="s">
        <v>34</v>
      </c>
      <c r="D354" s="19" t="s">
        <v>609</v>
      </c>
      <c r="E354" s="20" t="s">
        <v>53</v>
      </c>
      <c r="F354" s="19" t="s">
        <v>906</v>
      </c>
      <c r="G354" s="18" t="s">
        <v>611</v>
      </c>
      <c r="H354" s="22">
        <v>46021</v>
      </c>
      <c r="I354" s="71" t="s">
        <v>907</v>
      </c>
      <c r="J354" s="29">
        <v>7589466000</v>
      </c>
      <c r="K354" s="83" t="s">
        <v>950</v>
      </c>
      <c r="L354" s="26" t="s">
        <v>231</v>
      </c>
      <c r="M354" s="91" t="s">
        <v>746</v>
      </c>
      <c r="N354" s="31" t="s">
        <v>951</v>
      </c>
      <c r="O354" s="32"/>
      <c r="P354" s="32"/>
      <c r="Q354" s="31" t="s">
        <v>33</v>
      </c>
      <c r="R354" s="33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spans="1:31" ht="27.6">
      <c r="A355" s="10"/>
      <c r="B355" s="17"/>
      <c r="C355" s="18" t="s">
        <v>34</v>
      </c>
      <c r="D355" s="19" t="s">
        <v>609</v>
      </c>
      <c r="E355" s="20" t="s">
        <v>53</v>
      </c>
      <c r="F355" s="19" t="s">
        <v>952</v>
      </c>
      <c r="G355" s="18" t="s">
        <v>953</v>
      </c>
      <c r="H355" s="22">
        <v>46022</v>
      </c>
      <c r="I355" s="71" t="s">
        <v>907</v>
      </c>
      <c r="J355" s="29">
        <v>7589466000</v>
      </c>
      <c r="K355" s="83" t="s">
        <v>954</v>
      </c>
      <c r="L355" s="26" t="s">
        <v>231</v>
      </c>
      <c r="M355" s="93" t="s">
        <v>808</v>
      </c>
      <c r="N355" s="31" t="s">
        <v>955</v>
      </c>
      <c r="O355" s="32"/>
      <c r="P355" s="32"/>
      <c r="Q355" s="31" t="s">
        <v>33</v>
      </c>
      <c r="R355" s="33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spans="1:31" ht="13.8">
      <c r="A356" s="10"/>
      <c r="B356" s="17"/>
      <c r="C356" s="18" t="s">
        <v>34</v>
      </c>
      <c r="D356" s="19" t="s">
        <v>609</v>
      </c>
      <c r="E356" s="20" t="s">
        <v>53</v>
      </c>
      <c r="F356" s="19" t="s">
        <v>956</v>
      </c>
      <c r="G356" s="18" t="s">
        <v>957</v>
      </c>
      <c r="H356" s="22">
        <v>46023</v>
      </c>
      <c r="I356" s="96" t="s">
        <v>958</v>
      </c>
      <c r="J356" s="29" t="s">
        <v>959</v>
      </c>
      <c r="K356" s="83" t="s">
        <v>960</v>
      </c>
      <c r="L356" s="26" t="s">
        <v>231</v>
      </c>
      <c r="M356" s="93" t="s">
        <v>961</v>
      </c>
      <c r="N356" s="31" t="s">
        <v>962</v>
      </c>
      <c r="O356" s="32"/>
      <c r="P356" s="32"/>
      <c r="Q356" s="31" t="s">
        <v>33</v>
      </c>
      <c r="R356" s="33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spans="1:31" ht="27.6">
      <c r="A357" s="10"/>
      <c r="B357" s="17"/>
      <c r="C357" s="18" t="s">
        <v>34</v>
      </c>
      <c r="D357" s="19" t="s">
        <v>609</v>
      </c>
      <c r="E357" s="20" t="s">
        <v>53</v>
      </c>
      <c r="F357" s="19" t="s">
        <v>963</v>
      </c>
      <c r="G357" s="18" t="s">
        <v>964</v>
      </c>
      <c r="H357" s="22">
        <v>46024</v>
      </c>
      <c r="I357" s="71" t="s">
        <v>907</v>
      </c>
      <c r="J357" s="29">
        <v>7589466000</v>
      </c>
      <c r="K357" s="97" t="s">
        <v>965</v>
      </c>
      <c r="L357" s="26" t="s">
        <v>30</v>
      </c>
      <c r="M357" s="93" t="s">
        <v>769</v>
      </c>
      <c r="N357" s="31" t="s">
        <v>966</v>
      </c>
      <c r="O357" s="32"/>
      <c r="P357" s="32"/>
      <c r="Q357" s="31" t="s">
        <v>33</v>
      </c>
      <c r="R357" s="33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spans="1:31" ht="27.6">
      <c r="A358" s="10"/>
      <c r="B358" s="17"/>
      <c r="C358" s="18" t="s">
        <v>34</v>
      </c>
      <c r="D358" s="19" t="s">
        <v>609</v>
      </c>
      <c r="E358" s="20" t="s">
        <v>53</v>
      </c>
      <c r="F358" s="19" t="s">
        <v>967</v>
      </c>
      <c r="G358" s="18" t="s">
        <v>968</v>
      </c>
      <c r="H358" s="22">
        <v>46025</v>
      </c>
      <c r="I358" s="71" t="s">
        <v>907</v>
      </c>
      <c r="J358" s="29">
        <v>7589466000</v>
      </c>
      <c r="K358" s="97" t="s">
        <v>969</v>
      </c>
      <c r="L358" s="26" t="s">
        <v>30</v>
      </c>
      <c r="M358" s="93" t="s">
        <v>623</v>
      </c>
      <c r="N358" s="31" t="s">
        <v>970</v>
      </c>
      <c r="O358" s="32"/>
      <c r="P358" s="32"/>
      <c r="Q358" s="31" t="s">
        <v>33</v>
      </c>
      <c r="R358" s="33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spans="1:31" ht="27.6">
      <c r="A359" s="10"/>
      <c r="B359" s="17"/>
      <c r="C359" s="18" t="s">
        <v>34</v>
      </c>
      <c r="D359" s="19" t="s">
        <v>609</v>
      </c>
      <c r="E359" s="20" t="s">
        <v>53</v>
      </c>
      <c r="F359" s="19" t="s">
        <v>967</v>
      </c>
      <c r="G359" s="18" t="s">
        <v>968</v>
      </c>
      <c r="H359" s="22">
        <v>46025</v>
      </c>
      <c r="I359" s="71" t="s">
        <v>907</v>
      </c>
      <c r="J359" s="29">
        <v>7589466000</v>
      </c>
      <c r="K359" s="83" t="s">
        <v>971</v>
      </c>
      <c r="L359" s="26" t="s">
        <v>30</v>
      </c>
      <c r="M359" s="93" t="s">
        <v>623</v>
      </c>
      <c r="N359" s="31" t="s">
        <v>972</v>
      </c>
      <c r="O359" s="32"/>
      <c r="P359" s="32"/>
      <c r="Q359" s="31" t="s">
        <v>33</v>
      </c>
      <c r="R359" s="33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spans="1:31" ht="27.6">
      <c r="A360" s="10"/>
      <c r="B360" s="17"/>
      <c r="C360" s="18" t="s">
        <v>34</v>
      </c>
      <c r="D360" s="19" t="s">
        <v>609</v>
      </c>
      <c r="E360" s="20" t="s">
        <v>53</v>
      </c>
      <c r="F360" s="19" t="s">
        <v>967</v>
      </c>
      <c r="G360" s="18" t="s">
        <v>968</v>
      </c>
      <c r="H360" s="22">
        <v>46025</v>
      </c>
      <c r="I360" s="71" t="s">
        <v>907</v>
      </c>
      <c r="J360" s="29">
        <v>7589466000</v>
      </c>
      <c r="K360" s="83" t="s">
        <v>973</v>
      </c>
      <c r="L360" s="26" t="s">
        <v>30</v>
      </c>
      <c r="M360" s="93" t="s">
        <v>623</v>
      </c>
      <c r="N360" s="31" t="s">
        <v>974</v>
      </c>
      <c r="O360" s="32"/>
      <c r="P360" s="32"/>
      <c r="Q360" s="31" t="s">
        <v>33</v>
      </c>
      <c r="R360" s="33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spans="1:31" ht="27.6">
      <c r="A361" s="10"/>
      <c r="B361" s="17"/>
      <c r="C361" s="18" t="s">
        <v>34</v>
      </c>
      <c r="D361" s="19" t="s">
        <v>609</v>
      </c>
      <c r="E361" s="20" t="s">
        <v>53</v>
      </c>
      <c r="F361" s="19" t="s">
        <v>967</v>
      </c>
      <c r="G361" s="18" t="s">
        <v>968</v>
      </c>
      <c r="H361" s="22">
        <v>46025</v>
      </c>
      <c r="I361" s="71" t="s">
        <v>907</v>
      </c>
      <c r="J361" s="29">
        <v>7589466000</v>
      </c>
      <c r="K361" s="83" t="s">
        <v>975</v>
      </c>
      <c r="L361" s="26" t="s">
        <v>30</v>
      </c>
      <c r="M361" s="93" t="s">
        <v>623</v>
      </c>
      <c r="N361" s="31" t="s">
        <v>976</v>
      </c>
      <c r="O361" s="32"/>
      <c r="P361" s="32"/>
      <c r="Q361" s="31" t="s">
        <v>33</v>
      </c>
      <c r="R361" s="33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spans="1:31" ht="27.6">
      <c r="A362" s="10"/>
      <c r="B362" s="17"/>
      <c r="C362" s="18" t="s">
        <v>34</v>
      </c>
      <c r="D362" s="19" t="s">
        <v>609</v>
      </c>
      <c r="E362" s="20" t="s">
        <v>53</v>
      </c>
      <c r="F362" s="19" t="s">
        <v>967</v>
      </c>
      <c r="G362" s="18" t="s">
        <v>968</v>
      </c>
      <c r="H362" s="22">
        <v>46025</v>
      </c>
      <c r="I362" s="71" t="s">
        <v>907</v>
      </c>
      <c r="J362" s="29">
        <v>7589466000</v>
      </c>
      <c r="K362" s="92">
        <v>187500</v>
      </c>
      <c r="L362" s="26" t="s">
        <v>30</v>
      </c>
      <c r="M362" s="93" t="s">
        <v>623</v>
      </c>
      <c r="N362" s="31" t="s">
        <v>977</v>
      </c>
      <c r="O362" s="32"/>
      <c r="P362" s="32"/>
      <c r="Q362" s="31" t="s">
        <v>33</v>
      </c>
      <c r="R362" s="33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spans="1:31" ht="27.6">
      <c r="A363" s="10"/>
      <c r="B363" s="17"/>
      <c r="C363" s="18" t="s">
        <v>34</v>
      </c>
      <c r="D363" s="19" t="s">
        <v>609</v>
      </c>
      <c r="E363" s="20" t="s">
        <v>53</v>
      </c>
      <c r="F363" s="19" t="s">
        <v>967</v>
      </c>
      <c r="G363" s="18" t="s">
        <v>968</v>
      </c>
      <c r="H363" s="22">
        <v>46025</v>
      </c>
      <c r="I363" s="71" t="s">
        <v>907</v>
      </c>
      <c r="J363" s="29">
        <v>7589466000</v>
      </c>
      <c r="K363" s="83" t="s">
        <v>978</v>
      </c>
      <c r="L363" s="26" t="s">
        <v>30</v>
      </c>
      <c r="M363" s="93" t="s">
        <v>708</v>
      </c>
      <c r="N363" s="31" t="s">
        <v>979</v>
      </c>
      <c r="O363" s="32"/>
      <c r="P363" s="32"/>
      <c r="Q363" s="31" t="s">
        <v>33</v>
      </c>
      <c r="R363" s="33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spans="1:31" ht="27.6">
      <c r="A364" s="10"/>
      <c r="B364" s="17"/>
      <c r="C364" s="18" t="s">
        <v>34</v>
      </c>
      <c r="D364" s="19" t="s">
        <v>609</v>
      </c>
      <c r="E364" s="20" t="s">
        <v>53</v>
      </c>
      <c r="F364" s="19" t="s">
        <v>967</v>
      </c>
      <c r="G364" s="18" t="s">
        <v>968</v>
      </c>
      <c r="H364" s="22">
        <v>46025</v>
      </c>
      <c r="I364" s="71" t="s">
        <v>907</v>
      </c>
      <c r="J364" s="29">
        <v>7589466000</v>
      </c>
      <c r="K364" s="83" t="s">
        <v>980</v>
      </c>
      <c r="L364" s="26" t="s">
        <v>30</v>
      </c>
      <c r="M364" s="93" t="s">
        <v>981</v>
      </c>
      <c r="N364" s="31" t="s">
        <v>982</v>
      </c>
      <c r="O364" s="32"/>
      <c r="P364" s="32"/>
      <c r="Q364" s="31" t="s">
        <v>33</v>
      </c>
      <c r="R364" s="33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spans="1:31" ht="27.6">
      <c r="A365" s="10"/>
      <c r="B365" s="17"/>
      <c r="C365" s="18" t="s">
        <v>34</v>
      </c>
      <c r="D365" s="19" t="s">
        <v>609</v>
      </c>
      <c r="E365" s="20" t="s">
        <v>53</v>
      </c>
      <c r="F365" s="19" t="s">
        <v>967</v>
      </c>
      <c r="G365" s="18" t="s">
        <v>968</v>
      </c>
      <c r="H365" s="22">
        <v>46025</v>
      </c>
      <c r="I365" s="71" t="s">
        <v>907</v>
      </c>
      <c r="J365" s="29">
        <v>7589466000</v>
      </c>
      <c r="K365" s="83" t="s">
        <v>983</v>
      </c>
      <c r="L365" s="26" t="s">
        <v>30</v>
      </c>
      <c r="M365" s="93" t="s">
        <v>645</v>
      </c>
      <c r="N365" s="31" t="s">
        <v>984</v>
      </c>
      <c r="O365" s="32"/>
      <c r="P365" s="32"/>
      <c r="Q365" s="31" t="s">
        <v>33</v>
      </c>
      <c r="R365" s="33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spans="1:31" ht="27.6">
      <c r="A366" s="10"/>
      <c r="B366" s="17"/>
      <c r="C366" s="18" t="s">
        <v>34</v>
      </c>
      <c r="D366" s="19" t="s">
        <v>609</v>
      </c>
      <c r="E366" s="20" t="s">
        <v>53</v>
      </c>
      <c r="F366" s="19" t="s">
        <v>967</v>
      </c>
      <c r="G366" s="18" t="s">
        <v>968</v>
      </c>
      <c r="H366" s="22">
        <v>46025</v>
      </c>
      <c r="I366" s="71" t="s">
        <v>907</v>
      </c>
      <c r="J366" s="29">
        <v>7589466000</v>
      </c>
      <c r="K366" s="83" t="s">
        <v>985</v>
      </c>
      <c r="L366" s="26" t="s">
        <v>30</v>
      </c>
      <c r="M366" s="93" t="s">
        <v>645</v>
      </c>
      <c r="N366" s="31" t="s">
        <v>986</v>
      </c>
      <c r="O366" s="32"/>
      <c r="P366" s="32"/>
      <c r="Q366" s="31" t="s">
        <v>33</v>
      </c>
      <c r="R366" s="33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spans="1:31" ht="27.6">
      <c r="A367" s="10"/>
      <c r="B367" s="17"/>
      <c r="C367" s="18" t="s">
        <v>34</v>
      </c>
      <c r="D367" s="19" t="s">
        <v>609</v>
      </c>
      <c r="E367" s="20" t="s">
        <v>53</v>
      </c>
      <c r="F367" s="19" t="s">
        <v>967</v>
      </c>
      <c r="G367" s="18" t="s">
        <v>968</v>
      </c>
      <c r="H367" s="22">
        <v>46025</v>
      </c>
      <c r="I367" s="71" t="s">
        <v>907</v>
      </c>
      <c r="J367" s="29">
        <v>7589466000</v>
      </c>
      <c r="K367" s="83" t="s">
        <v>987</v>
      </c>
      <c r="L367" s="26" t="s">
        <v>30</v>
      </c>
      <c r="M367" s="93" t="s">
        <v>645</v>
      </c>
      <c r="N367" s="31" t="s">
        <v>988</v>
      </c>
      <c r="O367" s="32"/>
      <c r="P367" s="32"/>
      <c r="Q367" s="31" t="s">
        <v>33</v>
      </c>
      <c r="R367" s="33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spans="1:31" ht="27.6">
      <c r="A368" s="10"/>
      <c r="B368" s="17"/>
      <c r="C368" s="18" t="s">
        <v>34</v>
      </c>
      <c r="D368" s="19" t="s">
        <v>609</v>
      </c>
      <c r="E368" s="20" t="s">
        <v>53</v>
      </c>
      <c r="F368" s="19" t="s">
        <v>967</v>
      </c>
      <c r="G368" s="18" t="s">
        <v>968</v>
      </c>
      <c r="H368" s="22">
        <v>46025</v>
      </c>
      <c r="I368" s="71" t="s">
        <v>907</v>
      </c>
      <c r="J368" s="29">
        <v>7589466000</v>
      </c>
      <c r="K368" s="83" t="s">
        <v>989</v>
      </c>
      <c r="L368" s="26" t="s">
        <v>30</v>
      </c>
      <c r="M368" s="93" t="s">
        <v>626</v>
      </c>
      <c r="N368" s="31" t="s">
        <v>990</v>
      </c>
      <c r="O368" s="32"/>
      <c r="P368" s="32"/>
      <c r="Q368" s="31" t="s">
        <v>33</v>
      </c>
      <c r="R368" s="33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spans="1:31" ht="27.6">
      <c r="A369" s="10"/>
      <c r="B369" s="17"/>
      <c r="C369" s="18" t="s">
        <v>34</v>
      </c>
      <c r="D369" s="19" t="s">
        <v>609</v>
      </c>
      <c r="E369" s="20" t="s">
        <v>53</v>
      </c>
      <c r="F369" s="19" t="s">
        <v>967</v>
      </c>
      <c r="G369" s="18" t="s">
        <v>968</v>
      </c>
      <c r="H369" s="22">
        <v>46025</v>
      </c>
      <c r="I369" s="71" t="s">
        <v>907</v>
      </c>
      <c r="J369" s="29">
        <v>7589466000</v>
      </c>
      <c r="K369" s="83" t="s">
        <v>991</v>
      </c>
      <c r="L369" s="26" t="s">
        <v>30</v>
      </c>
      <c r="M369" s="93" t="s">
        <v>682</v>
      </c>
      <c r="N369" s="31" t="s">
        <v>992</v>
      </c>
      <c r="O369" s="32"/>
      <c r="P369" s="32"/>
      <c r="Q369" s="31" t="s">
        <v>33</v>
      </c>
      <c r="R369" s="33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spans="1:31" ht="27.6">
      <c r="A370" s="10"/>
      <c r="B370" s="17"/>
      <c r="C370" s="18" t="s">
        <v>34</v>
      </c>
      <c r="D370" s="19" t="s">
        <v>609</v>
      </c>
      <c r="E370" s="20" t="s">
        <v>53</v>
      </c>
      <c r="F370" s="19" t="s">
        <v>967</v>
      </c>
      <c r="G370" s="18" t="s">
        <v>968</v>
      </c>
      <c r="H370" s="22">
        <v>46025</v>
      </c>
      <c r="I370" s="71" t="s">
        <v>907</v>
      </c>
      <c r="J370" s="29">
        <v>7589466000</v>
      </c>
      <c r="K370" s="83" t="s">
        <v>993</v>
      </c>
      <c r="L370" s="26" t="s">
        <v>30</v>
      </c>
      <c r="M370" s="93" t="s">
        <v>682</v>
      </c>
      <c r="N370" s="31" t="s">
        <v>992</v>
      </c>
      <c r="O370" s="32"/>
      <c r="P370" s="32"/>
      <c r="Q370" s="31" t="s">
        <v>33</v>
      </c>
      <c r="R370" s="33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spans="1:31" ht="27.6">
      <c r="A371" s="10"/>
      <c r="B371" s="17"/>
      <c r="C371" s="18" t="s">
        <v>34</v>
      </c>
      <c r="D371" s="19" t="s">
        <v>609</v>
      </c>
      <c r="E371" s="20" t="s">
        <v>53</v>
      </c>
      <c r="F371" s="19" t="s">
        <v>967</v>
      </c>
      <c r="G371" s="18" t="s">
        <v>968</v>
      </c>
      <c r="H371" s="22">
        <v>46025</v>
      </c>
      <c r="I371" s="71" t="s">
        <v>907</v>
      </c>
      <c r="J371" s="29">
        <v>7589466000</v>
      </c>
      <c r="K371" s="83" t="s">
        <v>994</v>
      </c>
      <c r="L371" s="26" t="s">
        <v>30</v>
      </c>
      <c r="M371" s="93" t="s">
        <v>682</v>
      </c>
      <c r="N371" s="31" t="s">
        <v>995</v>
      </c>
      <c r="O371" s="32"/>
      <c r="P371" s="32"/>
      <c r="Q371" s="31" t="s">
        <v>33</v>
      </c>
      <c r="R371" s="33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spans="1:31" ht="27.6">
      <c r="A372" s="10"/>
      <c r="B372" s="17"/>
      <c r="C372" s="18" t="s">
        <v>34</v>
      </c>
      <c r="D372" s="19" t="s">
        <v>609</v>
      </c>
      <c r="E372" s="20" t="s">
        <v>53</v>
      </c>
      <c r="F372" s="19" t="s">
        <v>967</v>
      </c>
      <c r="G372" s="18" t="s">
        <v>968</v>
      </c>
      <c r="H372" s="22">
        <v>46025</v>
      </c>
      <c r="I372" s="71" t="s">
        <v>907</v>
      </c>
      <c r="J372" s="29">
        <v>7589466000</v>
      </c>
      <c r="K372" s="83" t="s">
        <v>996</v>
      </c>
      <c r="L372" s="26" t="s">
        <v>30</v>
      </c>
      <c r="M372" s="93" t="s">
        <v>724</v>
      </c>
      <c r="N372" s="31" t="s">
        <v>997</v>
      </c>
      <c r="O372" s="32"/>
      <c r="P372" s="32"/>
      <c r="Q372" s="31" t="s">
        <v>33</v>
      </c>
      <c r="R372" s="33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spans="1:31" ht="27.6">
      <c r="A373" s="10"/>
      <c r="B373" s="17"/>
      <c r="C373" s="18" t="s">
        <v>34</v>
      </c>
      <c r="D373" s="19" t="s">
        <v>609</v>
      </c>
      <c r="E373" s="20" t="s">
        <v>53</v>
      </c>
      <c r="F373" s="19" t="s">
        <v>967</v>
      </c>
      <c r="G373" s="18" t="s">
        <v>968</v>
      </c>
      <c r="H373" s="22">
        <v>46025</v>
      </c>
      <c r="I373" s="71" t="s">
        <v>907</v>
      </c>
      <c r="J373" s="29">
        <v>7589466000</v>
      </c>
      <c r="K373" s="92">
        <v>538350</v>
      </c>
      <c r="L373" s="26" t="s">
        <v>30</v>
      </c>
      <c r="M373" s="93" t="s">
        <v>724</v>
      </c>
      <c r="N373" s="31" t="s">
        <v>998</v>
      </c>
      <c r="O373" s="32"/>
      <c r="P373" s="32"/>
      <c r="Q373" s="31" t="s">
        <v>33</v>
      </c>
      <c r="R373" s="33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spans="1:31" ht="27.6">
      <c r="A374" s="10"/>
      <c r="B374" s="17"/>
      <c r="C374" s="18" t="s">
        <v>34</v>
      </c>
      <c r="D374" s="19" t="s">
        <v>609</v>
      </c>
      <c r="E374" s="20" t="s">
        <v>53</v>
      </c>
      <c r="F374" s="19" t="s">
        <v>967</v>
      </c>
      <c r="G374" s="18" t="s">
        <v>968</v>
      </c>
      <c r="H374" s="22">
        <v>46025</v>
      </c>
      <c r="I374" s="71" t="s">
        <v>907</v>
      </c>
      <c r="J374" s="29">
        <v>7589466000</v>
      </c>
      <c r="K374" s="83" t="s">
        <v>999</v>
      </c>
      <c r="L374" s="26" t="s">
        <v>30</v>
      </c>
      <c r="M374" s="93" t="s">
        <v>640</v>
      </c>
      <c r="N374" s="31" t="s">
        <v>1000</v>
      </c>
      <c r="O374" s="32"/>
      <c r="P374" s="32"/>
      <c r="Q374" s="31" t="s">
        <v>33</v>
      </c>
      <c r="R374" s="33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 ht="27.6">
      <c r="A375" s="10"/>
      <c r="B375" s="17"/>
      <c r="C375" s="18" t="s">
        <v>34</v>
      </c>
      <c r="D375" s="19" t="s">
        <v>609</v>
      </c>
      <c r="E375" s="20" t="s">
        <v>53</v>
      </c>
      <c r="F375" s="19" t="s">
        <v>967</v>
      </c>
      <c r="G375" s="18" t="s">
        <v>968</v>
      </c>
      <c r="H375" s="22">
        <v>46025</v>
      </c>
      <c r="I375" s="71" t="s">
        <v>907</v>
      </c>
      <c r="J375" s="29">
        <v>7589466000</v>
      </c>
      <c r="K375" s="83" t="s">
        <v>1001</v>
      </c>
      <c r="L375" s="26" t="s">
        <v>30</v>
      </c>
      <c r="M375" s="93" t="s">
        <v>640</v>
      </c>
      <c r="N375" s="31" t="s">
        <v>1002</v>
      </c>
      <c r="O375" s="32"/>
      <c r="P375" s="32"/>
      <c r="Q375" s="31" t="s">
        <v>33</v>
      </c>
      <c r="R375" s="33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spans="1:31" ht="27.6">
      <c r="A376" s="10"/>
      <c r="B376" s="17"/>
      <c r="C376" s="18" t="s">
        <v>34</v>
      </c>
      <c r="D376" s="19" t="s">
        <v>609</v>
      </c>
      <c r="E376" s="20" t="s">
        <v>53</v>
      </c>
      <c r="F376" s="19" t="s">
        <v>967</v>
      </c>
      <c r="G376" s="18" t="s">
        <v>968</v>
      </c>
      <c r="H376" s="22">
        <v>46025</v>
      </c>
      <c r="I376" s="71" t="s">
        <v>907</v>
      </c>
      <c r="J376" s="29">
        <v>7589466000</v>
      </c>
      <c r="K376" s="83" t="s">
        <v>1003</v>
      </c>
      <c r="L376" s="26" t="s">
        <v>30</v>
      </c>
      <c r="M376" s="93" t="s">
        <v>640</v>
      </c>
      <c r="N376" s="31" t="s">
        <v>1004</v>
      </c>
      <c r="O376" s="32"/>
      <c r="P376" s="32"/>
      <c r="Q376" s="31" t="s">
        <v>33</v>
      </c>
      <c r="R376" s="33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spans="1:31" ht="27.6">
      <c r="A377" s="10"/>
      <c r="B377" s="17"/>
      <c r="C377" s="18" t="s">
        <v>34</v>
      </c>
      <c r="D377" s="19" t="s">
        <v>609</v>
      </c>
      <c r="E377" s="20" t="s">
        <v>53</v>
      </c>
      <c r="F377" s="19" t="s">
        <v>967</v>
      </c>
      <c r="G377" s="18" t="s">
        <v>968</v>
      </c>
      <c r="H377" s="22">
        <v>46025</v>
      </c>
      <c r="I377" s="71" t="s">
        <v>907</v>
      </c>
      <c r="J377" s="29">
        <v>7589466000</v>
      </c>
      <c r="K377" s="83" t="s">
        <v>1005</v>
      </c>
      <c r="L377" s="26" t="s">
        <v>30</v>
      </c>
      <c r="M377" s="93" t="s">
        <v>640</v>
      </c>
      <c r="N377" s="31" t="s">
        <v>1006</v>
      </c>
      <c r="O377" s="32"/>
      <c r="P377" s="32"/>
      <c r="Q377" s="31" t="s">
        <v>33</v>
      </c>
      <c r="R377" s="33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spans="1:31" ht="27.6">
      <c r="A378" s="10"/>
      <c r="B378" s="17"/>
      <c r="C378" s="18" t="s">
        <v>34</v>
      </c>
      <c r="D378" s="19" t="s">
        <v>609</v>
      </c>
      <c r="E378" s="20" t="s">
        <v>53</v>
      </c>
      <c r="F378" s="19" t="s">
        <v>967</v>
      </c>
      <c r="G378" s="18" t="s">
        <v>968</v>
      </c>
      <c r="H378" s="22">
        <v>46025</v>
      </c>
      <c r="I378" s="71" t="s">
        <v>907</v>
      </c>
      <c r="J378" s="29">
        <v>7589466000</v>
      </c>
      <c r="K378" s="83" t="s">
        <v>1007</v>
      </c>
      <c r="L378" s="26" t="s">
        <v>30</v>
      </c>
      <c r="M378" s="93" t="s">
        <v>640</v>
      </c>
      <c r="N378" s="31" t="s">
        <v>1008</v>
      </c>
      <c r="O378" s="32"/>
      <c r="P378" s="32"/>
      <c r="Q378" s="31" t="s">
        <v>33</v>
      </c>
      <c r="R378" s="33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spans="1:31" ht="27.6">
      <c r="A379" s="10"/>
      <c r="B379" s="17"/>
      <c r="C379" s="18" t="s">
        <v>34</v>
      </c>
      <c r="D379" s="19" t="s">
        <v>609</v>
      </c>
      <c r="E379" s="20" t="s">
        <v>53</v>
      </c>
      <c r="F379" s="19" t="s">
        <v>967</v>
      </c>
      <c r="G379" s="18" t="s">
        <v>968</v>
      </c>
      <c r="H379" s="22">
        <v>46025</v>
      </c>
      <c r="I379" s="71" t="s">
        <v>907</v>
      </c>
      <c r="J379" s="29">
        <v>7589466000</v>
      </c>
      <c r="K379" s="83" t="s">
        <v>1009</v>
      </c>
      <c r="L379" s="26" t="s">
        <v>30</v>
      </c>
      <c r="M379" s="93" t="s">
        <v>640</v>
      </c>
      <c r="N379" s="31" t="s">
        <v>1010</v>
      </c>
      <c r="O379" s="32"/>
      <c r="P379" s="32"/>
      <c r="Q379" s="31" t="s">
        <v>33</v>
      </c>
      <c r="R379" s="33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 ht="27.6">
      <c r="A380" s="10"/>
      <c r="B380" s="17"/>
      <c r="C380" s="18" t="s">
        <v>34</v>
      </c>
      <c r="D380" s="19" t="s">
        <v>609</v>
      </c>
      <c r="E380" s="20" t="s">
        <v>53</v>
      </c>
      <c r="F380" s="19" t="s">
        <v>967</v>
      </c>
      <c r="G380" s="18" t="s">
        <v>968</v>
      </c>
      <c r="H380" s="22">
        <v>46025</v>
      </c>
      <c r="I380" s="71" t="s">
        <v>907</v>
      </c>
      <c r="J380" s="29">
        <v>7589466000</v>
      </c>
      <c r="K380" s="83" t="s">
        <v>1011</v>
      </c>
      <c r="L380" s="26" t="s">
        <v>30</v>
      </c>
      <c r="M380" s="93" t="s">
        <v>640</v>
      </c>
      <c r="N380" s="31" t="s">
        <v>1012</v>
      </c>
      <c r="O380" s="32"/>
      <c r="P380" s="32"/>
      <c r="Q380" s="31" t="s">
        <v>33</v>
      </c>
      <c r="R380" s="33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spans="1:31" ht="27.6">
      <c r="A381" s="10"/>
      <c r="B381" s="17"/>
      <c r="C381" s="18" t="s">
        <v>34</v>
      </c>
      <c r="D381" s="19" t="s">
        <v>609</v>
      </c>
      <c r="E381" s="20" t="s">
        <v>53</v>
      </c>
      <c r="F381" s="19" t="s">
        <v>967</v>
      </c>
      <c r="G381" s="18" t="s">
        <v>968</v>
      </c>
      <c r="H381" s="22">
        <v>46025</v>
      </c>
      <c r="I381" s="71" t="s">
        <v>907</v>
      </c>
      <c r="J381" s="29">
        <v>7589466000</v>
      </c>
      <c r="K381" s="92">
        <v>203930</v>
      </c>
      <c r="L381" s="26" t="s">
        <v>30</v>
      </c>
      <c r="M381" s="93" t="s">
        <v>640</v>
      </c>
      <c r="N381" s="31" t="s">
        <v>1013</v>
      </c>
      <c r="O381" s="32"/>
      <c r="P381" s="32"/>
      <c r="Q381" s="31" t="s">
        <v>33</v>
      </c>
      <c r="R381" s="33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spans="1:31" ht="27.6">
      <c r="A382" s="10"/>
      <c r="B382" s="17"/>
      <c r="C382" s="18" t="s">
        <v>34</v>
      </c>
      <c r="D382" s="19" t="s">
        <v>609</v>
      </c>
      <c r="E382" s="20" t="s">
        <v>53</v>
      </c>
      <c r="F382" s="19" t="s">
        <v>967</v>
      </c>
      <c r="G382" s="18" t="s">
        <v>968</v>
      </c>
      <c r="H382" s="22">
        <v>46025</v>
      </c>
      <c r="I382" s="71" t="s">
        <v>907</v>
      </c>
      <c r="J382" s="29">
        <v>7589466000</v>
      </c>
      <c r="K382" s="83" t="s">
        <v>1014</v>
      </c>
      <c r="L382" s="26" t="s">
        <v>30</v>
      </c>
      <c r="M382" s="93" t="s">
        <v>793</v>
      </c>
      <c r="N382" s="31" t="s">
        <v>1015</v>
      </c>
      <c r="O382" s="32"/>
      <c r="P382" s="32"/>
      <c r="Q382" s="31" t="s">
        <v>33</v>
      </c>
      <c r="R382" s="33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spans="1:31" ht="27.6">
      <c r="A383" s="10"/>
      <c r="B383" s="17"/>
      <c r="C383" s="18" t="s">
        <v>34</v>
      </c>
      <c r="D383" s="19" t="s">
        <v>609</v>
      </c>
      <c r="E383" s="20" t="s">
        <v>53</v>
      </c>
      <c r="F383" s="19" t="s">
        <v>967</v>
      </c>
      <c r="G383" s="18" t="s">
        <v>968</v>
      </c>
      <c r="H383" s="22">
        <v>46025</v>
      </c>
      <c r="I383" s="71" t="s">
        <v>907</v>
      </c>
      <c r="J383" s="29">
        <v>7589466000</v>
      </c>
      <c r="K383" s="83" t="s">
        <v>1016</v>
      </c>
      <c r="L383" s="26" t="s">
        <v>30</v>
      </c>
      <c r="M383" s="98" t="s">
        <v>913</v>
      </c>
      <c r="N383" s="31" t="s">
        <v>1017</v>
      </c>
      <c r="O383" s="32"/>
      <c r="P383" s="32"/>
      <c r="Q383" s="31" t="s">
        <v>33</v>
      </c>
      <c r="R383" s="33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spans="1:31" ht="27.6">
      <c r="A384" s="10"/>
      <c r="B384" s="17"/>
      <c r="C384" s="18" t="s">
        <v>34</v>
      </c>
      <c r="D384" s="19" t="s">
        <v>609</v>
      </c>
      <c r="E384" s="20" t="s">
        <v>53</v>
      </c>
      <c r="F384" s="19" t="s">
        <v>967</v>
      </c>
      <c r="G384" s="18" t="s">
        <v>968</v>
      </c>
      <c r="H384" s="22">
        <v>46025</v>
      </c>
      <c r="I384" s="71" t="s">
        <v>907</v>
      </c>
      <c r="J384" s="29">
        <v>7589466000</v>
      </c>
      <c r="K384" s="83" t="s">
        <v>1018</v>
      </c>
      <c r="L384" s="26" t="s">
        <v>231</v>
      </c>
      <c r="M384" s="93" t="s">
        <v>1019</v>
      </c>
      <c r="N384" s="31" t="s">
        <v>1020</v>
      </c>
      <c r="O384" s="32"/>
      <c r="P384" s="32"/>
      <c r="Q384" s="31" t="s">
        <v>33</v>
      </c>
      <c r="R384" s="33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spans="1:31" ht="27.6">
      <c r="A385" s="10"/>
      <c r="B385" s="17"/>
      <c r="C385" s="18" t="s">
        <v>34</v>
      </c>
      <c r="D385" s="19" t="s">
        <v>609</v>
      </c>
      <c r="E385" s="20" t="s">
        <v>53</v>
      </c>
      <c r="F385" s="19" t="s">
        <v>967</v>
      </c>
      <c r="G385" s="18" t="s">
        <v>968</v>
      </c>
      <c r="H385" s="22">
        <v>46025</v>
      </c>
      <c r="I385" s="71" t="s">
        <v>907</v>
      </c>
      <c r="J385" s="29">
        <v>7589466000</v>
      </c>
      <c r="K385" s="83" t="s">
        <v>1021</v>
      </c>
      <c r="L385" s="26" t="s">
        <v>231</v>
      </c>
      <c r="M385" s="93" t="s">
        <v>1022</v>
      </c>
      <c r="N385" s="31" t="s">
        <v>1023</v>
      </c>
      <c r="O385" s="32"/>
      <c r="P385" s="32"/>
      <c r="Q385" s="31" t="s">
        <v>33</v>
      </c>
      <c r="R385" s="33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spans="1:31" ht="27.6">
      <c r="A386" s="10"/>
      <c r="B386" s="17"/>
      <c r="C386" s="18" t="s">
        <v>34</v>
      </c>
      <c r="D386" s="19" t="s">
        <v>609</v>
      </c>
      <c r="E386" s="20" t="s">
        <v>53</v>
      </c>
      <c r="F386" s="19" t="s">
        <v>967</v>
      </c>
      <c r="G386" s="18" t="s">
        <v>968</v>
      </c>
      <c r="H386" s="22">
        <v>46025</v>
      </c>
      <c r="I386" s="71" t="s">
        <v>907</v>
      </c>
      <c r="J386" s="29">
        <v>7589466000</v>
      </c>
      <c r="K386" s="83" t="s">
        <v>1024</v>
      </c>
      <c r="L386" s="26" t="s">
        <v>30</v>
      </c>
      <c r="M386" s="99" t="s">
        <v>769</v>
      </c>
      <c r="N386" s="31" t="s">
        <v>1025</v>
      </c>
      <c r="O386" s="32"/>
      <c r="P386" s="32"/>
      <c r="Q386" s="24"/>
      <c r="R386" s="37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spans="1:31" ht="27.6">
      <c r="A387" s="10"/>
      <c r="B387" s="17"/>
      <c r="C387" s="18" t="s">
        <v>34</v>
      </c>
      <c r="D387" s="19" t="s">
        <v>609</v>
      </c>
      <c r="E387" s="20" t="s">
        <v>53</v>
      </c>
      <c r="F387" s="19" t="s">
        <v>967</v>
      </c>
      <c r="G387" s="18" t="s">
        <v>968</v>
      </c>
      <c r="H387" s="22">
        <v>46025</v>
      </c>
      <c r="I387" s="71" t="s">
        <v>907</v>
      </c>
      <c r="J387" s="29">
        <v>7589466000</v>
      </c>
      <c r="K387" s="83" t="s">
        <v>1026</v>
      </c>
      <c r="L387" s="26" t="s">
        <v>30</v>
      </c>
      <c r="M387" s="93" t="s">
        <v>808</v>
      </c>
      <c r="N387" s="31" t="s">
        <v>1027</v>
      </c>
      <c r="O387" s="32"/>
      <c r="P387" s="32"/>
      <c r="Q387" s="24"/>
      <c r="R387" s="37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 ht="27.6">
      <c r="A388" s="10"/>
      <c r="B388" s="17"/>
      <c r="C388" s="18" t="s">
        <v>34</v>
      </c>
      <c r="D388" s="19" t="s">
        <v>609</v>
      </c>
      <c r="E388" s="20" t="s">
        <v>53</v>
      </c>
      <c r="F388" s="19" t="s">
        <v>967</v>
      </c>
      <c r="G388" s="18" t="s">
        <v>968</v>
      </c>
      <c r="H388" s="22">
        <v>46025</v>
      </c>
      <c r="I388" s="71" t="s">
        <v>907</v>
      </c>
      <c r="J388" s="29">
        <v>7589466000</v>
      </c>
      <c r="K388" s="83" t="s">
        <v>1028</v>
      </c>
      <c r="L388" s="26" t="s">
        <v>30</v>
      </c>
      <c r="M388" s="93" t="s">
        <v>808</v>
      </c>
      <c r="N388" s="31" t="s">
        <v>1029</v>
      </c>
      <c r="O388" s="32"/>
      <c r="P388" s="32"/>
      <c r="Q388" s="24"/>
      <c r="R388" s="37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 ht="27.6">
      <c r="A389" s="10"/>
      <c r="B389" s="17"/>
      <c r="C389" s="18" t="s">
        <v>34</v>
      </c>
      <c r="D389" s="19" t="s">
        <v>609</v>
      </c>
      <c r="E389" s="20" t="s">
        <v>53</v>
      </c>
      <c r="F389" s="19" t="s">
        <v>967</v>
      </c>
      <c r="G389" s="18" t="s">
        <v>968</v>
      </c>
      <c r="H389" s="22">
        <v>46025</v>
      </c>
      <c r="I389" s="71" t="s">
        <v>907</v>
      </c>
      <c r="J389" s="29">
        <v>7589466000</v>
      </c>
      <c r="K389" s="92">
        <v>222000</v>
      </c>
      <c r="L389" s="26" t="s">
        <v>30</v>
      </c>
      <c r="M389" s="93" t="s">
        <v>808</v>
      </c>
      <c r="N389" s="31" t="s">
        <v>1030</v>
      </c>
      <c r="O389" s="32"/>
      <c r="P389" s="32"/>
      <c r="Q389" s="24"/>
      <c r="R389" s="37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spans="1:31" ht="27.6">
      <c r="A390" s="10"/>
      <c r="B390" s="17"/>
      <c r="C390" s="18" t="s">
        <v>34</v>
      </c>
      <c r="D390" s="19" t="s">
        <v>609</v>
      </c>
      <c r="E390" s="20" t="s">
        <v>53</v>
      </c>
      <c r="F390" s="19" t="s">
        <v>967</v>
      </c>
      <c r="G390" s="18" t="s">
        <v>968</v>
      </c>
      <c r="H390" s="22">
        <v>46025</v>
      </c>
      <c r="I390" s="71" t="s">
        <v>907</v>
      </c>
      <c r="J390" s="29">
        <v>7589466000</v>
      </c>
      <c r="K390" s="83" t="s">
        <v>1031</v>
      </c>
      <c r="L390" s="26" t="s">
        <v>30</v>
      </c>
      <c r="M390" s="99" t="s">
        <v>1032</v>
      </c>
      <c r="N390" s="31" t="s">
        <v>1033</v>
      </c>
      <c r="O390" s="32"/>
      <c r="P390" s="32"/>
      <c r="Q390" s="24"/>
      <c r="R390" s="37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spans="1:31" ht="27.6">
      <c r="A391" s="10"/>
      <c r="B391" s="17"/>
      <c r="C391" s="18" t="s">
        <v>34</v>
      </c>
      <c r="D391" s="19" t="s">
        <v>609</v>
      </c>
      <c r="E391" s="20" t="s">
        <v>53</v>
      </c>
      <c r="F391" s="19" t="s">
        <v>967</v>
      </c>
      <c r="G391" s="18" t="s">
        <v>968</v>
      </c>
      <c r="H391" s="22">
        <v>46025</v>
      </c>
      <c r="I391" s="71" t="s">
        <v>907</v>
      </c>
      <c r="J391" s="29">
        <v>7589466000</v>
      </c>
      <c r="K391" s="83" t="s">
        <v>862</v>
      </c>
      <c r="L391" s="26" t="s">
        <v>30</v>
      </c>
      <c r="M391" s="99" t="s">
        <v>645</v>
      </c>
      <c r="N391" s="31" t="s">
        <v>1034</v>
      </c>
      <c r="O391" s="32"/>
      <c r="P391" s="32"/>
      <c r="Q391" s="24"/>
      <c r="R391" s="37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spans="1:31" ht="27.6">
      <c r="A392" s="10"/>
      <c r="B392" s="17"/>
      <c r="C392" s="18" t="s">
        <v>34</v>
      </c>
      <c r="D392" s="19" t="s">
        <v>609</v>
      </c>
      <c r="E392" s="20" t="s">
        <v>53</v>
      </c>
      <c r="F392" s="19" t="s">
        <v>967</v>
      </c>
      <c r="G392" s="18" t="s">
        <v>968</v>
      </c>
      <c r="H392" s="22">
        <v>46025</v>
      </c>
      <c r="I392" s="71" t="s">
        <v>907</v>
      </c>
      <c r="J392" s="29">
        <v>7589466000</v>
      </c>
      <c r="K392" s="83" t="s">
        <v>859</v>
      </c>
      <c r="L392" s="26" t="s">
        <v>30</v>
      </c>
      <c r="M392" s="99" t="s">
        <v>645</v>
      </c>
      <c r="N392" s="31" t="s">
        <v>1035</v>
      </c>
      <c r="O392" s="32"/>
      <c r="P392" s="32"/>
      <c r="Q392" s="24"/>
      <c r="R392" s="37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spans="1:31" ht="27.6">
      <c r="A393" s="10"/>
      <c r="B393" s="17"/>
      <c r="C393" s="18" t="s">
        <v>34</v>
      </c>
      <c r="D393" s="19" t="s">
        <v>609</v>
      </c>
      <c r="E393" s="20" t="s">
        <v>53</v>
      </c>
      <c r="F393" s="19" t="s">
        <v>967</v>
      </c>
      <c r="G393" s="18" t="s">
        <v>968</v>
      </c>
      <c r="H393" s="22">
        <v>46025</v>
      </c>
      <c r="I393" s="71" t="s">
        <v>907</v>
      </c>
      <c r="J393" s="29">
        <v>7589466000</v>
      </c>
      <c r="K393" s="83" t="s">
        <v>1036</v>
      </c>
      <c r="L393" s="26" t="s">
        <v>30</v>
      </c>
      <c r="M393" s="99" t="s">
        <v>645</v>
      </c>
      <c r="N393" s="31" t="s">
        <v>1037</v>
      </c>
      <c r="O393" s="32"/>
      <c r="P393" s="32"/>
      <c r="Q393" s="24"/>
      <c r="R393" s="37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 ht="27.6">
      <c r="A394" s="10"/>
      <c r="B394" s="17"/>
      <c r="C394" s="54" t="s">
        <v>34</v>
      </c>
      <c r="D394" s="19" t="s">
        <v>609</v>
      </c>
      <c r="E394" s="20" t="s">
        <v>53</v>
      </c>
      <c r="F394" s="19" t="s">
        <v>967</v>
      </c>
      <c r="G394" s="54" t="s">
        <v>968</v>
      </c>
      <c r="H394" s="22">
        <v>46025</v>
      </c>
      <c r="I394" s="71" t="s">
        <v>907</v>
      </c>
      <c r="J394" s="29">
        <v>7589466000</v>
      </c>
      <c r="K394" s="92">
        <v>183150</v>
      </c>
      <c r="L394" s="26" t="s">
        <v>30</v>
      </c>
      <c r="M394" s="96" t="s">
        <v>626</v>
      </c>
      <c r="N394" s="31" t="s">
        <v>1038</v>
      </c>
      <c r="O394" s="32"/>
      <c r="P394" s="32"/>
      <c r="Q394" s="24"/>
      <c r="R394" s="37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spans="1:31" ht="27.6">
      <c r="A395" s="10"/>
      <c r="B395" s="17"/>
      <c r="C395" s="54" t="s">
        <v>34</v>
      </c>
      <c r="D395" s="19" t="s">
        <v>609</v>
      </c>
      <c r="E395" s="20" t="s">
        <v>53</v>
      </c>
      <c r="F395" s="19" t="s">
        <v>967</v>
      </c>
      <c r="G395" s="54" t="s">
        <v>968</v>
      </c>
      <c r="H395" s="22">
        <v>46025</v>
      </c>
      <c r="I395" s="71" t="s">
        <v>907</v>
      </c>
      <c r="J395" s="29">
        <v>7589466000</v>
      </c>
      <c r="K395" s="92">
        <v>469530</v>
      </c>
      <c r="L395" s="26" t="s">
        <v>30</v>
      </c>
      <c r="M395" s="96" t="s">
        <v>626</v>
      </c>
      <c r="N395" s="31" t="s">
        <v>1039</v>
      </c>
      <c r="O395" s="32"/>
      <c r="P395" s="32"/>
      <c r="Q395" s="24"/>
      <c r="R395" s="37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spans="1:31" ht="27.6">
      <c r="A396" s="10"/>
      <c r="B396" s="17"/>
      <c r="C396" s="54" t="s">
        <v>34</v>
      </c>
      <c r="D396" s="19" t="s">
        <v>609</v>
      </c>
      <c r="E396" s="20" t="s">
        <v>53</v>
      </c>
      <c r="F396" s="19" t="s">
        <v>967</v>
      </c>
      <c r="G396" s="54" t="s">
        <v>968</v>
      </c>
      <c r="H396" s="22">
        <v>46025</v>
      </c>
      <c r="I396" s="71" t="s">
        <v>907</v>
      </c>
      <c r="J396" s="29">
        <v>7589466000</v>
      </c>
      <c r="K396" s="83" t="s">
        <v>1040</v>
      </c>
      <c r="L396" s="26" t="s">
        <v>30</v>
      </c>
      <c r="M396" s="96" t="s">
        <v>1041</v>
      </c>
      <c r="N396" s="31" t="s">
        <v>1042</v>
      </c>
      <c r="O396" s="32"/>
      <c r="P396" s="32"/>
      <c r="Q396" s="24"/>
      <c r="R396" s="37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spans="1:31" ht="27.6">
      <c r="A397" s="10"/>
      <c r="B397" s="17"/>
      <c r="C397" s="54" t="s">
        <v>34</v>
      </c>
      <c r="D397" s="19" t="s">
        <v>609</v>
      </c>
      <c r="E397" s="20" t="s">
        <v>53</v>
      </c>
      <c r="F397" s="19" t="s">
        <v>967</v>
      </c>
      <c r="G397" s="54" t="s">
        <v>968</v>
      </c>
      <c r="H397" s="22">
        <v>46025</v>
      </c>
      <c r="I397" s="71" t="s">
        <v>907</v>
      </c>
      <c r="J397" s="29">
        <v>7589466000</v>
      </c>
      <c r="K397" s="83" t="s">
        <v>1043</v>
      </c>
      <c r="L397" s="26" t="s">
        <v>30</v>
      </c>
      <c r="M397" s="96" t="s">
        <v>1041</v>
      </c>
      <c r="N397" s="31" t="s">
        <v>1044</v>
      </c>
      <c r="O397" s="32"/>
      <c r="P397" s="32"/>
      <c r="Q397" s="24"/>
      <c r="R397" s="37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spans="1:31" ht="27.6">
      <c r="A398" s="10"/>
      <c r="B398" s="17"/>
      <c r="C398" s="54" t="s">
        <v>34</v>
      </c>
      <c r="D398" s="19" t="s">
        <v>609</v>
      </c>
      <c r="E398" s="20" t="s">
        <v>53</v>
      </c>
      <c r="F398" s="19" t="s">
        <v>967</v>
      </c>
      <c r="G398" s="54" t="s">
        <v>968</v>
      </c>
      <c r="H398" s="22">
        <v>46025</v>
      </c>
      <c r="I398" s="71" t="s">
        <v>907</v>
      </c>
      <c r="J398" s="29">
        <v>7589466000</v>
      </c>
      <c r="K398" s="83" t="s">
        <v>1045</v>
      </c>
      <c r="L398" s="26" t="s">
        <v>30</v>
      </c>
      <c r="M398" s="96" t="s">
        <v>1041</v>
      </c>
      <c r="N398" s="31" t="s">
        <v>1046</v>
      </c>
      <c r="O398" s="32"/>
      <c r="P398" s="32"/>
      <c r="Q398" s="24"/>
      <c r="R398" s="37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spans="1:31" ht="27.6">
      <c r="A399" s="10"/>
      <c r="B399" s="17"/>
      <c r="C399" s="54" t="s">
        <v>34</v>
      </c>
      <c r="D399" s="19" t="s">
        <v>609</v>
      </c>
      <c r="E399" s="20" t="s">
        <v>53</v>
      </c>
      <c r="F399" s="19" t="s">
        <v>967</v>
      </c>
      <c r="G399" s="54" t="s">
        <v>968</v>
      </c>
      <c r="H399" s="22">
        <v>46025</v>
      </c>
      <c r="I399" s="71" t="s">
        <v>907</v>
      </c>
      <c r="J399" s="29">
        <v>7589466000</v>
      </c>
      <c r="K399" s="83" t="s">
        <v>1047</v>
      </c>
      <c r="L399" s="26" t="s">
        <v>231</v>
      </c>
      <c r="M399" s="91" t="s">
        <v>1019</v>
      </c>
      <c r="N399" s="31" t="s">
        <v>1048</v>
      </c>
      <c r="O399" s="32"/>
      <c r="P399" s="32"/>
      <c r="Q399" s="24"/>
      <c r="R399" s="37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spans="1:31" ht="27.6">
      <c r="A400" s="10"/>
      <c r="B400" s="17"/>
      <c r="C400" s="54" t="s">
        <v>34</v>
      </c>
      <c r="D400" s="19" t="s">
        <v>609</v>
      </c>
      <c r="E400" s="20" t="s">
        <v>53</v>
      </c>
      <c r="F400" s="19" t="s">
        <v>967</v>
      </c>
      <c r="G400" s="54" t="s">
        <v>968</v>
      </c>
      <c r="H400" s="22">
        <v>46025</v>
      </c>
      <c r="I400" s="71" t="s">
        <v>907</v>
      </c>
      <c r="J400" s="29">
        <v>7589466000</v>
      </c>
      <c r="K400" s="83" t="s">
        <v>1049</v>
      </c>
      <c r="L400" s="26" t="s">
        <v>231</v>
      </c>
      <c r="M400" s="91" t="s">
        <v>1050</v>
      </c>
      <c r="N400" s="31" t="s">
        <v>1051</v>
      </c>
      <c r="O400" s="32"/>
      <c r="P400" s="32"/>
      <c r="Q400" s="24"/>
      <c r="R400" s="37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spans="1:31" ht="27.6">
      <c r="A401" s="10"/>
      <c r="B401" s="17"/>
      <c r="C401" s="54" t="s">
        <v>34</v>
      </c>
      <c r="D401" s="19" t="s">
        <v>609</v>
      </c>
      <c r="E401" s="20" t="s">
        <v>53</v>
      </c>
      <c r="F401" s="19" t="s">
        <v>967</v>
      </c>
      <c r="G401" s="54" t="s">
        <v>968</v>
      </c>
      <c r="H401" s="22">
        <v>46025</v>
      </c>
      <c r="I401" s="71" t="s">
        <v>907</v>
      </c>
      <c r="J401" s="29">
        <v>7589466000</v>
      </c>
      <c r="K401" s="83" t="s">
        <v>1052</v>
      </c>
      <c r="L401" s="26" t="s">
        <v>231</v>
      </c>
      <c r="M401" s="91" t="s">
        <v>1053</v>
      </c>
      <c r="N401" s="31" t="s">
        <v>1054</v>
      </c>
      <c r="O401" s="32"/>
      <c r="P401" s="32"/>
      <c r="Q401" s="24"/>
      <c r="R401" s="37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spans="1:31" ht="27.6">
      <c r="A402" s="10"/>
      <c r="B402" s="17"/>
      <c r="C402" s="54" t="s">
        <v>34</v>
      </c>
      <c r="D402" s="19" t="s">
        <v>609</v>
      </c>
      <c r="E402" s="20" t="s">
        <v>53</v>
      </c>
      <c r="F402" s="19" t="s">
        <v>967</v>
      </c>
      <c r="G402" s="54" t="s">
        <v>968</v>
      </c>
      <c r="H402" s="22">
        <v>46025</v>
      </c>
      <c r="I402" s="71" t="s">
        <v>907</v>
      </c>
      <c r="J402" s="29">
        <v>7589466000</v>
      </c>
      <c r="K402" s="83" t="s">
        <v>1055</v>
      </c>
      <c r="L402" s="26" t="s">
        <v>231</v>
      </c>
      <c r="M402" s="91" t="s">
        <v>1056</v>
      </c>
      <c r="N402" s="31" t="s">
        <v>1057</v>
      </c>
      <c r="O402" s="32"/>
      <c r="P402" s="32"/>
      <c r="Q402" s="24"/>
      <c r="R402" s="37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spans="1:31" ht="27.6">
      <c r="A403" s="10"/>
      <c r="B403" s="17"/>
      <c r="C403" s="54" t="s">
        <v>34</v>
      </c>
      <c r="D403" s="19" t="s">
        <v>609</v>
      </c>
      <c r="E403" s="20" t="s">
        <v>53</v>
      </c>
      <c r="F403" s="19" t="s">
        <v>967</v>
      </c>
      <c r="G403" s="54" t="s">
        <v>968</v>
      </c>
      <c r="H403" s="22">
        <v>46025</v>
      </c>
      <c r="I403" s="71" t="s">
        <v>907</v>
      </c>
      <c r="J403" s="29">
        <v>7589466000</v>
      </c>
      <c r="K403" s="83" t="s">
        <v>1058</v>
      </c>
      <c r="L403" s="26" t="s">
        <v>231</v>
      </c>
      <c r="M403" s="91" t="s">
        <v>1059</v>
      </c>
      <c r="N403" s="31" t="s">
        <v>1060</v>
      </c>
      <c r="O403" s="32"/>
      <c r="P403" s="32"/>
      <c r="Q403" s="24"/>
      <c r="R403" s="37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spans="1:31" ht="13.8">
      <c r="J404" s="29"/>
      <c r="M404" s="100"/>
      <c r="N404" s="31"/>
      <c r="O404" s="33"/>
      <c r="P404" s="33"/>
    </row>
    <row r="405" spans="1:31" ht="13.8">
      <c r="A405" s="10">
        <v>25</v>
      </c>
      <c r="B405" s="17" t="s">
        <v>1061</v>
      </c>
      <c r="C405" s="18" t="s">
        <v>23</v>
      </c>
      <c r="D405" s="19" t="s">
        <v>1062</v>
      </c>
      <c r="E405" s="20" t="s">
        <v>544</v>
      </c>
      <c r="F405" s="19">
        <v>82091342</v>
      </c>
      <c r="G405" s="19" t="s">
        <v>1063</v>
      </c>
      <c r="H405" s="22">
        <v>46049</v>
      </c>
      <c r="I405" s="28" t="s">
        <v>41</v>
      </c>
      <c r="J405" s="29"/>
      <c r="K405" s="51"/>
      <c r="L405" s="24"/>
      <c r="M405" s="35"/>
      <c r="N405" s="31"/>
      <c r="O405" s="31"/>
      <c r="P405" s="31"/>
      <c r="Q405" s="31"/>
      <c r="R405" s="33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spans="1:31" ht="27.6">
      <c r="A406" s="10"/>
      <c r="B406" s="17"/>
      <c r="C406" s="18" t="s">
        <v>27</v>
      </c>
      <c r="D406" s="19" t="s">
        <v>1064</v>
      </c>
      <c r="E406" s="20" t="s">
        <v>160</v>
      </c>
      <c r="F406" s="19" t="s">
        <v>1065</v>
      </c>
      <c r="G406" s="19" t="s">
        <v>1066</v>
      </c>
      <c r="H406" s="22">
        <v>46002</v>
      </c>
      <c r="I406" s="28" t="s">
        <v>1067</v>
      </c>
      <c r="J406" s="29" t="s">
        <v>1068</v>
      </c>
      <c r="K406" s="101" t="s">
        <v>1068</v>
      </c>
      <c r="L406" s="26" t="s">
        <v>30</v>
      </c>
      <c r="M406" s="30" t="s">
        <v>1069</v>
      </c>
      <c r="N406" s="31" t="s">
        <v>1070</v>
      </c>
      <c r="O406" s="102">
        <v>46028</v>
      </c>
      <c r="P406" s="32"/>
      <c r="Q406" s="31" t="s">
        <v>33</v>
      </c>
      <c r="R406" s="33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spans="1:31" ht="13.8">
      <c r="A407" s="10"/>
      <c r="B407" s="17"/>
      <c r="C407" s="18" t="s">
        <v>34</v>
      </c>
      <c r="D407" s="19" t="s">
        <v>1071</v>
      </c>
      <c r="E407" s="20" t="s">
        <v>36</v>
      </c>
      <c r="F407" s="19">
        <v>97050765</v>
      </c>
      <c r="G407" s="19" t="s">
        <v>1072</v>
      </c>
      <c r="H407" s="22">
        <v>46009</v>
      </c>
      <c r="I407" s="28" t="s">
        <v>1073</v>
      </c>
      <c r="J407" s="29">
        <v>8324000</v>
      </c>
      <c r="K407" s="51">
        <v>8324000</v>
      </c>
      <c r="L407" s="26" t="s">
        <v>30</v>
      </c>
      <c r="M407" s="30" t="s">
        <v>80</v>
      </c>
      <c r="N407" s="31" t="s">
        <v>1074</v>
      </c>
      <c r="O407" s="102">
        <v>46029</v>
      </c>
      <c r="P407" s="32"/>
      <c r="Q407" s="31" t="s">
        <v>33</v>
      </c>
      <c r="R407" s="33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spans="1:31" ht="13.8">
      <c r="A408" s="10"/>
      <c r="B408" s="17"/>
      <c r="C408" s="21"/>
      <c r="D408" s="21"/>
      <c r="E408" s="21"/>
      <c r="F408" s="21"/>
      <c r="G408" s="21"/>
      <c r="H408" s="22"/>
      <c r="I408" s="28" t="s">
        <v>41</v>
      </c>
      <c r="J408" s="29"/>
      <c r="K408" s="24"/>
      <c r="L408" s="24"/>
      <c r="M408" s="35"/>
      <c r="N408" s="31"/>
      <c r="O408" s="31"/>
      <c r="P408" s="31"/>
      <c r="Q408" s="24"/>
      <c r="R408" s="37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spans="1:31" ht="13.8">
      <c r="A409" s="10">
        <v>26</v>
      </c>
      <c r="B409" s="17" t="s">
        <v>1075</v>
      </c>
      <c r="C409" s="18" t="s">
        <v>23</v>
      </c>
      <c r="D409" s="19" t="s">
        <v>1076</v>
      </c>
      <c r="E409" s="20" t="s">
        <v>25</v>
      </c>
      <c r="F409" s="19">
        <v>75070929</v>
      </c>
      <c r="G409" s="19" t="s">
        <v>241</v>
      </c>
      <c r="H409" s="22">
        <v>45728</v>
      </c>
      <c r="I409" s="28" t="s">
        <v>1077</v>
      </c>
      <c r="J409" s="29">
        <v>547500000</v>
      </c>
      <c r="K409" s="51">
        <v>538500000</v>
      </c>
      <c r="L409" s="26" t="s">
        <v>30</v>
      </c>
      <c r="M409" s="30" t="s">
        <v>1078</v>
      </c>
      <c r="N409" s="31" t="s">
        <v>1079</v>
      </c>
      <c r="O409" s="32"/>
      <c r="P409" s="32"/>
      <c r="Q409" s="31" t="s">
        <v>33</v>
      </c>
      <c r="R409" s="33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spans="1:31" ht="13.8">
      <c r="A410" s="10"/>
      <c r="B410" s="17"/>
      <c r="C410" s="18" t="s">
        <v>27</v>
      </c>
      <c r="D410" s="19" t="s">
        <v>1076</v>
      </c>
      <c r="E410" s="20" t="s">
        <v>25</v>
      </c>
      <c r="F410" s="19">
        <v>75070929</v>
      </c>
      <c r="G410" s="19" t="s">
        <v>1080</v>
      </c>
      <c r="H410" s="22">
        <v>46000</v>
      </c>
      <c r="I410" s="28" t="s">
        <v>1081</v>
      </c>
      <c r="J410" s="29">
        <v>810300000</v>
      </c>
      <c r="K410" s="51">
        <v>796980000</v>
      </c>
      <c r="L410" s="26" t="s">
        <v>30</v>
      </c>
      <c r="M410" s="30" t="s">
        <v>1082</v>
      </c>
      <c r="N410" s="31" t="s">
        <v>1083</v>
      </c>
      <c r="O410" s="32"/>
      <c r="P410" s="32"/>
      <c r="Q410" s="31" t="s">
        <v>33</v>
      </c>
      <c r="R410" s="33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spans="1:31" ht="13.8">
      <c r="A411" s="10"/>
      <c r="B411" s="17"/>
      <c r="C411" s="18" t="s">
        <v>27</v>
      </c>
      <c r="D411" s="19" t="s">
        <v>1076</v>
      </c>
      <c r="E411" s="20" t="s">
        <v>25</v>
      </c>
      <c r="F411" s="19">
        <v>75070929</v>
      </c>
      <c r="G411" s="19" t="s">
        <v>1084</v>
      </c>
      <c r="H411" s="22">
        <v>46000</v>
      </c>
      <c r="I411" s="28" t="s">
        <v>1085</v>
      </c>
      <c r="J411" s="29">
        <v>840000000</v>
      </c>
      <c r="K411" s="51">
        <v>807687500</v>
      </c>
      <c r="L411" s="26" t="s">
        <v>30</v>
      </c>
      <c r="M411" s="30" t="s">
        <v>141</v>
      </c>
      <c r="N411" s="31" t="s">
        <v>1086</v>
      </c>
      <c r="O411" s="32"/>
      <c r="P411" s="32"/>
      <c r="Q411" s="31" t="s">
        <v>33</v>
      </c>
      <c r="R411" s="33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spans="1:31" ht="27.6">
      <c r="A412" s="10"/>
      <c r="B412" s="17"/>
      <c r="C412" s="18" t="s">
        <v>27</v>
      </c>
      <c r="D412" s="19" t="s">
        <v>1076</v>
      </c>
      <c r="E412" s="20" t="s">
        <v>25</v>
      </c>
      <c r="F412" s="19">
        <v>75070929</v>
      </c>
      <c r="G412" s="19" t="s">
        <v>1087</v>
      </c>
      <c r="H412" s="22">
        <v>46000</v>
      </c>
      <c r="I412" s="28" t="s">
        <v>1088</v>
      </c>
      <c r="J412" s="29">
        <v>963455000</v>
      </c>
      <c r="K412" s="51">
        <v>963455000</v>
      </c>
      <c r="L412" s="26" t="s">
        <v>30</v>
      </c>
      <c r="M412" s="30" t="s">
        <v>1089</v>
      </c>
      <c r="N412" s="31" t="s">
        <v>1090</v>
      </c>
      <c r="O412" s="32"/>
      <c r="P412" s="32"/>
      <c r="Q412" s="31" t="s">
        <v>33</v>
      </c>
      <c r="R412" s="33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spans="1:31" ht="27.6">
      <c r="A413" s="10"/>
      <c r="B413" s="17"/>
      <c r="C413" s="18" t="s">
        <v>27</v>
      </c>
      <c r="D413" s="19" t="s">
        <v>1076</v>
      </c>
      <c r="E413" s="20" t="s">
        <v>25</v>
      </c>
      <c r="F413" s="19">
        <v>75070929</v>
      </c>
      <c r="G413" s="19" t="s">
        <v>1091</v>
      </c>
      <c r="H413" s="22">
        <v>46000</v>
      </c>
      <c r="I413" s="28" t="s">
        <v>1092</v>
      </c>
      <c r="J413" s="29">
        <v>315612000</v>
      </c>
      <c r="K413" s="51">
        <v>315610000</v>
      </c>
      <c r="L413" s="26" t="s">
        <v>30</v>
      </c>
      <c r="M413" s="30" t="s">
        <v>1093</v>
      </c>
      <c r="N413" s="31" t="s">
        <v>1094</v>
      </c>
      <c r="O413" s="32"/>
      <c r="P413" s="32"/>
      <c r="Q413" s="31" t="s">
        <v>33</v>
      </c>
      <c r="R413" s="33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spans="1:31" ht="27.6">
      <c r="A414" s="10"/>
      <c r="B414" s="17"/>
      <c r="C414" s="18" t="s">
        <v>27</v>
      </c>
      <c r="D414" s="19" t="s">
        <v>1076</v>
      </c>
      <c r="E414" s="20" t="s">
        <v>25</v>
      </c>
      <c r="F414" s="19">
        <v>75070929</v>
      </c>
      <c r="G414" s="19" t="s">
        <v>1095</v>
      </c>
      <c r="H414" s="22">
        <v>46000</v>
      </c>
      <c r="I414" s="28" t="s">
        <v>1096</v>
      </c>
      <c r="J414" s="29">
        <v>408000000</v>
      </c>
      <c r="K414" s="51">
        <v>408000000</v>
      </c>
      <c r="L414" s="26" t="s">
        <v>30</v>
      </c>
      <c r="M414" s="30" t="s">
        <v>1097</v>
      </c>
      <c r="N414" s="31" t="s">
        <v>1098</v>
      </c>
      <c r="O414" s="32"/>
      <c r="P414" s="32"/>
      <c r="Q414" s="31" t="s">
        <v>33</v>
      </c>
      <c r="R414" s="33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spans="1:31" ht="13.8">
      <c r="A415" s="10"/>
      <c r="B415" s="17"/>
      <c r="C415" s="18" t="s">
        <v>27</v>
      </c>
      <c r="D415" s="19" t="s">
        <v>1076</v>
      </c>
      <c r="E415" s="20" t="s">
        <v>25</v>
      </c>
      <c r="F415" s="19">
        <v>75070929</v>
      </c>
      <c r="G415" s="19" t="s">
        <v>1099</v>
      </c>
      <c r="H415" s="22">
        <v>46000</v>
      </c>
      <c r="I415" s="28" t="s">
        <v>1100</v>
      </c>
      <c r="J415" s="29">
        <v>306000000</v>
      </c>
      <c r="K415" s="51">
        <v>305609292</v>
      </c>
      <c r="L415" s="26" t="s">
        <v>30</v>
      </c>
      <c r="M415" s="30" t="s">
        <v>1101</v>
      </c>
      <c r="N415" s="31" t="s">
        <v>1102</v>
      </c>
      <c r="O415" s="32"/>
      <c r="P415" s="32"/>
      <c r="Q415" s="31" t="s">
        <v>33</v>
      </c>
      <c r="R415" s="33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spans="1:31" ht="27.6">
      <c r="A416" s="10"/>
      <c r="B416" s="17"/>
      <c r="C416" s="18" t="s">
        <v>27</v>
      </c>
      <c r="D416" s="19" t="s">
        <v>1076</v>
      </c>
      <c r="E416" s="20" t="s">
        <v>25</v>
      </c>
      <c r="F416" s="19">
        <v>75070929</v>
      </c>
      <c r="G416" s="19" t="s">
        <v>1103</v>
      </c>
      <c r="H416" s="22">
        <v>46000</v>
      </c>
      <c r="I416" s="28" t="s">
        <v>1104</v>
      </c>
      <c r="J416" s="29">
        <v>207200000</v>
      </c>
      <c r="K416" s="51">
        <v>207185179</v>
      </c>
      <c r="L416" s="26" t="s">
        <v>30</v>
      </c>
      <c r="M416" s="30" t="s">
        <v>1101</v>
      </c>
      <c r="N416" s="31" t="s">
        <v>1105</v>
      </c>
      <c r="O416" s="32"/>
      <c r="P416" s="32"/>
      <c r="Q416" s="31" t="s">
        <v>33</v>
      </c>
      <c r="R416" s="33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spans="1:31" ht="27.6">
      <c r="A417" s="10"/>
      <c r="B417" s="17"/>
      <c r="C417" s="18" t="s">
        <v>27</v>
      </c>
      <c r="D417" s="19" t="s">
        <v>1076</v>
      </c>
      <c r="E417" s="20" t="s">
        <v>25</v>
      </c>
      <c r="F417" s="19">
        <v>75070929</v>
      </c>
      <c r="G417" s="19" t="s">
        <v>1106</v>
      </c>
      <c r="H417" s="22">
        <v>46000</v>
      </c>
      <c r="I417" s="28" t="s">
        <v>1107</v>
      </c>
      <c r="J417" s="29">
        <v>481819000</v>
      </c>
      <c r="K417" s="51">
        <v>481819000</v>
      </c>
      <c r="L417" s="26" t="s">
        <v>30</v>
      </c>
      <c r="M417" s="30" t="s">
        <v>1108</v>
      </c>
      <c r="N417" s="31" t="s">
        <v>1109</v>
      </c>
      <c r="O417" s="32"/>
      <c r="P417" s="32"/>
      <c r="Q417" s="31" t="s">
        <v>33</v>
      </c>
      <c r="R417" s="33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spans="1:31" ht="27.6">
      <c r="A418" s="10"/>
      <c r="B418" s="17"/>
      <c r="C418" s="18" t="s">
        <v>27</v>
      </c>
      <c r="D418" s="19" t="s">
        <v>1076</v>
      </c>
      <c r="E418" s="20" t="s">
        <v>25</v>
      </c>
      <c r="F418" s="19">
        <v>75070929</v>
      </c>
      <c r="G418" s="19" t="s">
        <v>1110</v>
      </c>
      <c r="H418" s="22">
        <v>46000</v>
      </c>
      <c r="I418" s="28" t="s">
        <v>1111</v>
      </c>
      <c r="J418" s="29">
        <v>213556000</v>
      </c>
      <c r="K418" s="51">
        <v>213556000</v>
      </c>
      <c r="L418" s="26" t="s">
        <v>30</v>
      </c>
      <c r="M418" s="30" t="s">
        <v>1108</v>
      </c>
      <c r="N418" s="31" t="s">
        <v>1112</v>
      </c>
      <c r="O418" s="32"/>
      <c r="P418" s="32"/>
      <c r="Q418" s="31" t="s">
        <v>33</v>
      </c>
      <c r="R418" s="33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spans="1:31" ht="13.8">
      <c r="A419" s="10"/>
      <c r="B419" s="17"/>
      <c r="C419" s="18" t="s">
        <v>34</v>
      </c>
      <c r="D419" s="19" t="s">
        <v>1113</v>
      </c>
      <c r="E419" s="20" t="s">
        <v>1114</v>
      </c>
      <c r="F419" s="19">
        <v>80040767</v>
      </c>
      <c r="G419" s="19" t="s">
        <v>241</v>
      </c>
      <c r="H419" s="22">
        <v>46368</v>
      </c>
      <c r="I419" s="28" t="s">
        <v>1115</v>
      </c>
      <c r="J419" s="29">
        <v>28200000</v>
      </c>
      <c r="K419" s="51">
        <v>28200000</v>
      </c>
      <c r="L419" s="26" t="s">
        <v>30</v>
      </c>
      <c r="M419" s="30" t="s">
        <v>1116</v>
      </c>
      <c r="N419" s="31" t="s">
        <v>1117</v>
      </c>
      <c r="O419" s="32"/>
      <c r="P419" s="32"/>
      <c r="Q419" s="31" t="s">
        <v>33</v>
      </c>
      <c r="R419" s="33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spans="1:31" ht="13.8">
      <c r="A420" s="10"/>
      <c r="B420" s="17"/>
      <c r="C420" s="18" t="s">
        <v>34</v>
      </c>
      <c r="D420" s="19" t="s">
        <v>1113</v>
      </c>
      <c r="E420" s="20" t="s">
        <v>1114</v>
      </c>
      <c r="F420" s="19">
        <v>80040767</v>
      </c>
      <c r="G420" s="19" t="s">
        <v>241</v>
      </c>
      <c r="H420" s="22">
        <v>46368</v>
      </c>
      <c r="I420" s="28" t="s">
        <v>1118</v>
      </c>
      <c r="J420" s="29">
        <v>190000000</v>
      </c>
      <c r="K420" s="51">
        <v>189997000</v>
      </c>
      <c r="L420" s="26" t="s">
        <v>30</v>
      </c>
      <c r="M420" s="30" t="s">
        <v>1119</v>
      </c>
      <c r="N420" s="31" t="s">
        <v>1120</v>
      </c>
      <c r="O420" s="32"/>
      <c r="P420" s="32"/>
      <c r="Q420" s="31" t="s">
        <v>33</v>
      </c>
      <c r="R420" s="33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spans="1:31" ht="13.8">
      <c r="A421" s="10"/>
      <c r="B421" s="17"/>
      <c r="C421" s="18" t="s">
        <v>34</v>
      </c>
      <c r="D421" s="19" t="s">
        <v>1113</v>
      </c>
      <c r="E421" s="20" t="s">
        <v>1114</v>
      </c>
      <c r="F421" s="19">
        <v>80040767</v>
      </c>
      <c r="G421" s="19" t="s">
        <v>241</v>
      </c>
      <c r="H421" s="22">
        <v>46368</v>
      </c>
      <c r="I421" s="28" t="s">
        <v>1121</v>
      </c>
      <c r="J421" s="29">
        <v>62000000</v>
      </c>
      <c r="K421" s="51">
        <v>61904300</v>
      </c>
      <c r="L421" s="26" t="s">
        <v>30</v>
      </c>
      <c r="M421" s="30" t="s">
        <v>1122</v>
      </c>
      <c r="N421" s="31" t="s">
        <v>1123</v>
      </c>
      <c r="O421" s="32"/>
      <c r="P421" s="32"/>
      <c r="Q421" s="31" t="s">
        <v>33</v>
      </c>
      <c r="R421" s="33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spans="1:31" ht="27.6">
      <c r="A422" s="10"/>
      <c r="B422" s="17"/>
      <c r="C422" s="18" t="s">
        <v>34</v>
      </c>
      <c r="D422" s="19" t="s">
        <v>1113</v>
      </c>
      <c r="E422" s="20" t="s">
        <v>1114</v>
      </c>
      <c r="F422" s="19">
        <v>80040767</v>
      </c>
      <c r="G422" s="19" t="s">
        <v>241</v>
      </c>
      <c r="H422" s="22">
        <v>46368</v>
      </c>
      <c r="I422" s="28" t="s">
        <v>1124</v>
      </c>
      <c r="J422" s="29">
        <v>66000000</v>
      </c>
      <c r="K422" s="51">
        <v>52800000</v>
      </c>
      <c r="L422" s="26" t="s">
        <v>30</v>
      </c>
      <c r="M422" s="30" t="s">
        <v>1093</v>
      </c>
      <c r="N422" s="31" t="s">
        <v>1125</v>
      </c>
      <c r="O422" s="32"/>
      <c r="P422" s="32"/>
      <c r="Q422" s="31" t="s">
        <v>33</v>
      </c>
      <c r="R422" s="33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spans="1:31" ht="27.6">
      <c r="A423" s="10"/>
      <c r="B423" s="17"/>
      <c r="C423" s="18" t="s">
        <v>34</v>
      </c>
      <c r="D423" s="19" t="s">
        <v>1113</v>
      </c>
      <c r="E423" s="20" t="s">
        <v>1114</v>
      </c>
      <c r="F423" s="19">
        <v>80040767</v>
      </c>
      <c r="G423" s="19" t="s">
        <v>241</v>
      </c>
      <c r="H423" s="22">
        <v>46368</v>
      </c>
      <c r="I423" s="28" t="s">
        <v>1126</v>
      </c>
      <c r="J423" s="29">
        <v>177500000</v>
      </c>
      <c r="K423" s="51">
        <v>177500000</v>
      </c>
      <c r="L423" s="26" t="s">
        <v>30</v>
      </c>
      <c r="M423" s="30" t="s">
        <v>1097</v>
      </c>
      <c r="N423" s="31" t="s">
        <v>1127</v>
      </c>
      <c r="O423" s="32"/>
      <c r="P423" s="32"/>
      <c r="Q423" s="31" t="s">
        <v>33</v>
      </c>
      <c r="R423" s="33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spans="1:31" ht="27.6">
      <c r="A424" s="10"/>
      <c r="B424" s="17"/>
      <c r="C424" s="18" t="s">
        <v>34</v>
      </c>
      <c r="D424" s="19" t="s">
        <v>1113</v>
      </c>
      <c r="E424" s="20" t="s">
        <v>1114</v>
      </c>
      <c r="F424" s="19">
        <v>80040767</v>
      </c>
      <c r="G424" s="19" t="s">
        <v>241</v>
      </c>
      <c r="H424" s="22">
        <v>46368</v>
      </c>
      <c r="I424" s="28" t="s">
        <v>1128</v>
      </c>
      <c r="J424" s="29">
        <v>37500000</v>
      </c>
      <c r="K424" s="51">
        <v>30000000</v>
      </c>
      <c r="L424" s="26" t="s">
        <v>30</v>
      </c>
      <c r="M424" s="30" t="s">
        <v>1097</v>
      </c>
      <c r="N424" s="31" t="s">
        <v>1129</v>
      </c>
      <c r="O424" s="32"/>
      <c r="P424" s="32"/>
      <c r="Q424" s="31" t="s">
        <v>33</v>
      </c>
      <c r="R424" s="33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spans="1:31" ht="27.6">
      <c r="A425" s="10"/>
      <c r="B425" s="17"/>
      <c r="C425" s="18" t="s">
        <v>34</v>
      </c>
      <c r="D425" s="19" t="s">
        <v>1113</v>
      </c>
      <c r="E425" s="20" t="s">
        <v>1114</v>
      </c>
      <c r="F425" s="19">
        <v>80040767</v>
      </c>
      <c r="G425" s="19" t="s">
        <v>241</v>
      </c>
      <c r="H425" s="22">
        <v>46368</v>
      </c>
      <c r="I425" s="28" t="s">
        <v>1130</v>
      </c>
      <c r="J425" s="29">
        <v>32000000</v>
      </c>
      <c r="K425" s="51">
        <v>32000000</v>
      </c>
      <c r="L425" s="26" t="s">
        <v>231</v>
      </c>
      <c r="M425" s="30" t="s">
        <v>1101</v>
      </c>
      <c r="N425" s="31" t="s">
        <v>1131</v>
      </c>
      <c r="O425" s="32"/>
      <c r="P425" s="32"/>
      <c r="Q425" s="31" t="s">
        <v>33</v>
      </c>
      <c r="R425" s="33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spans="1:31" ht="13.8">
      <c r="A426" s="10"/>
      <c r="B426" s="17"/>
      <c r="C426" s="18" t="s">
        <v>34</v>
      </c>
      <c r="D426" s="19" t="s">
        <v>1113</v>
      </c>
      <c r="E426" s="20" t="s">
        <v>1114</v>
      </c>
      <c r="F426" s="19">
        <v>80040767</v>
      </c>
      <c r="G426" s="19" t="s">
        <v>241</v>
      </c>
      <c r="H426" s="22">
        <v>46368</v>
      </c>
      <c r="I426" s="28" t="s">
        <v>1132</v>
      </c>
      <c r="J426" s="29">
        <v>64000000</v>
      </c>
      <c r="K426" s="51">
        <v>63958500</v>
      </c>
      <c r="L426" s="26" t="s">
        <v>30</v>
      </c>
      <c r="M426" s="30" t="s">
        <v>1133</v>
      </c>
      <c r="N426" s="31" t="s">
        <v>1134</v>
      </c>
      <c r="O426" s="32"/>
      <c r="P426" s="32"/>
      <c r="Q426" s="31" t="s">
        <v>33</v>
      </c>
      <c r="R426" s="33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spans="1:31" ht="27.6">
      <c r="A427" s="10"/>
      <c r="B427" s="17"/>
      <c r="C427" s="18" t="s">
        <v>34</v>
      </c>
      <c r="D427" s="19" t="s">
        <v>1113</v>
      </c>
      <c r="E427" s="20" t="s">
        <v>1114</v>
      </c>
      <c r="F427" s="19">
        <v>80040767</v>
      </c>
      <c r="G427" s="19" t="s">
        <v>241</v>
      </c>
      <c r="H427" s="22">
        <v>46368</v>
      </c>
      <c r="I427" s="28" t="s">
        <v>1135</v>
      </c>
      <c r="J427" s="29">
        <v>40176000</v>
      </c>
      <c r="K427" s="51">
        <v>40175791</v>
      </c>
      <c r="L427" s="26" t="s">
        <v>30</v>
      </c>
      <c r="M427" s="30" t="s">
        <v>1133</v>
      </c>
      <c r="N427" s="31" t="s">
        <v>1136</v>
      </c>
      <c r="O427" s="32"/>
      <c r="P427" s="32"/>
      <c r="Q427" s="31" t="s">
        <v>33</v>
      </c>
      <c r="R427" s="33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spans="1:31" ht="13.8">
      <c r="A428" s="10"/>
      <c r="B428" s="17"/>
      <c r="C428" s="18" t="s">
        <v>34</v>
      </c>
      <c r="D428" s="19" t="s">
        <v>1113</v>
      </c>
      <c r="E428" s="20" t="s">
        <v>1114</v>
      </c>
      <c r="F428" s="19">
        <v>80040767</v>
      </c>
      <c r="G428" s="19" t="s">
        <v>241</v>
      </c>
      <c r="H428" s="22">
        <v>46368</v>
      </c>
      <c r="I428" s="28" t="s">
        <v>1137</v>
      </c>
      <c r="J428" s="29">
        <v>160350000</v>
      </c>
      <c r="K428" s="51">
        <v>160350000</v>
      </c>
      <c r="L428" s="26" t="s">
        <v>30</v>
      </c>
      <c r="M428" s="30" t="s">
        <v>1138</v>
      </c>
      <c r="N428" s="31" t="s">
        <v>1139</v>
      </c>
      <c r="O428" s="32"/>
      <c r="P428" s="32"/>
      <c r="Q428" s="31" t="s">
        <v>33</v>
      </c>
      <c r="R428" s="33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spans="1:31" ht="13.8">
      <c r="A429" s="10"/>
      <c r="B429" s="17"/>
      <c r="C429" s="18" t="s">
        <v>34</v>
      </c>
      <c r="D429" s="19" t="s">
        <v>1113</v>
      </c>
      <c r="E429" s="20" t="s">
        <v>1114</v>
      </c>
      <c r="F429" s="19">
        <v>80040767</v>
      </c>
      <c r="G429" s="19" t="s">
        <v>241</v>
      </c>
      <c r="H429" s="22">
        <v>46368</v>
      </c>
      <c r="I429" s="28" t="s">
        <v>1140</v>
      </c>
      <c r="J429" s="29">
        <v>94950000</v>
      </c>
      <c r="K429" s="51">
        <v>94927200</v>
      </c>
      <c r="L429" s="26" t="s">
        <v>30</v>
      </c>
      <c r="M429" s="30" t="s">
        <v>1141</v>
      </c>
      <c r="N429" s="31" t="s">
        <v>1142</v>
      </c>
      <c r="O429" s="32"/>
      <c r="P429" s="32"/>
      <c r="Q429" s="31" t="s">
        <v>33</v>
      </c>
      <c r="R429" s="33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spans="1:31" ht="13.8">
      <c r="A430" s="10"/>
      <c r="B430" s="17"/>
      <c r="C430" s="21"/>
      <c r="D430" s="21"/>
      <c r="E430" s="21"/>
      <c r="F430" s="21"/>
      <c r="G430" s="21"/>
      <c r="H430" s="22"/>
      <c r="I430" s="28" t="s">
        <v>41</v>
      </c>
      <c r="J430" s="29"/>
      <c r="K430" s="103"/>
      <c r="L430" s="24"/>
      <c r="M430" s="35"/>
      <c r="N430" s="31"/>
      <c r="O430" s="36"/>
      <c r="P430" s="36"/>
      <c r="Q430" s="24"/>
      <c r="R430" s="37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spans="1:31" ht="13.8">
      <c r="A431" s="10">
        <v>27</v>
      </c>
      <c r="B431" s="17" t="s">
        <v>1143</v>
      </c>
      <c r="C431" s="18" t="s">
        <v>23</v>
      </c>
      <c r="D431" s="104" t="s">
        <v>1144</v>
      </c>
      <c r="E431" s="20" t="s">
        <v>544</v>
      </c>
      <c r="F431" s="19">
        <v>82041469</v>
      </c>
      <c r="G431" s="19" t="s">
        <v>1145</v>
      </c>
      <c r="H431" s="22">
        <v>45728</v>
      </c>
      <c r="I431" s="28" t="s">
        <v>41</v>
      </c>
      <c r="J431" s="29"/>
      <c r="K431" s="24"/>
      <c r="L431" s="24"/>
      <c r="M431" s="35"/>
      <c r="N431" s="31" t="s">
        <v>1146</v>
      </c>
      <c r="O431" s="36"/>
      <c r="P431" s="36"/>
      <c r="Q431" s="31" t="s">
        <v>33</v>
      </c>
      <c r="R431" s="33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spans="1:31" ht="13.8">
      <c r="A432" s="10"/>
      <c r="B432" s="17"/>
      <c r="C432" s="18" t="s">
        <v>27</v>
      </c>
      <c r="D432" s="104" t="s">
        <v>1144</v>
      </c>
      <c r="E432" s="20" t="s">
        <v>544</v>
      </c>
      <c r="F432" s="19">
        <v>82041469</v>
      </c>
      <c r="G432" s="19" t="s">
        <v>1147</v>
      </c>
      <c r="H432" s="22">
        <v>46015</v>
      </c>
      <c r="I432" s="28" t="s">
        <v>1148</v>
      </c>
      <c r="J432" s="29">
        <v>27660000</v>
      </c>
      <c r="K432" s="51">
        <v>27660000</v>
      </c>
      <c r="L432" s="26" t="s">
        <v>30</v>
      </c>
      <c r="M432" s="30" t="s">
        <v>1149</v>
      </c>
      <c r="N432" s="31" t="s">
        <v>1150</v>
      </c>
      <c r="O432" s="32"/>
      <c r="P432" s="32"/>
      <c r="Q432" s="31" t="s">
        <v>33</v>
      </c>
      <c r="R432" s="33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spans="1:31" ht="13.8">
      <c r="A433" s="10"/>
      <c r="B433" s="17"/>
      <c r="C433" s="18" t="s">
        <v>27</v>
      </c>
      <c r="D433" s="104" t="s">
        <v>1144</v>
      </c>
      <c r="E433" s="20" t="s">
        <v>544</v>
      </c>
      <c r="F433" s="19">
        <v>82041469</v>
      </c>
      <c r="G433" s="19" t="s">
        <v>1147</v>
      </c>
      <c r="H433" s="22">
        <v>46015</v>
      </c>
      <c r="I433" s="28" t="s">
        <v>1151</v>
      </c>
      <c r="J433" s="29">
        <v>555200000</v>
      </c>
      <c r="K433" s="51">
        <v>555200000</v>
      </c>
      <c r="L433" s="26" t="s">
        <v>30</v>
      </c>
      <c r="M433" s="30" t="s">
        <v>1152</v>
      </c>
      <c r="N433" s="31" t="s">
        <v>1153</v>
      </c>
      <c r="O433" s="32"/>
      <c r="P433" s="32"/>
      <c r="Q433" s="31" t="s">
        <v>33</v>
      </c>
      <c r="R433" s="33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spans="1:31" ht="13.8">
      <c r="A434" s="10"/>
      <c r="B434" s="17"/>
      <c r="C434" s="18" t="s">
        <v>27</v>
      </c>
      <c r="D434" s="104" t="s">
        <v>1144</v>
      </c>
      <c r="E434" s="20" t="s">
        <v>544</v>
      </c>
      <c r="F434" s="19">
        <v>82041469</v>
      </c>
      <c r="G434" s="19" t="s">
        <v>1147</v>
      </c>
      <c r="H434" s="22">
        <v>46015</v>
      </c>
      <c r="I434" s="28" t="s">
        <v>1154</v>
      </c>
      <c r="J434" s="29">
        <v>500000000</v>
      </c>
      <c r="K434" s="51">
        <v>500000000</v>
      </c>
      <c r="L434" s="26" t="s">
        <v>30</v>
      </c>
      <c r="M434" s="30" t="s">
        <v>1155</v>
      </c>
      <c r="N434" s="31" t="s">
        <v>1156</v>
      </c>
      <c r="O434" s="32"/>
      <c r="P434" s="32"/>
      <c r="Q434" s="31" t="s">
        <v>33</v>
      </c>
      <c r="R434" s="33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spans="1:31" ht="13.8">
      <c r="A435" s="10"/>
      <c r="B435" s="17"/>
      <c r="C435" s="18" t="s">
        <v>27</v>
      </c>
      <c r="D435" s="104" t="s">
        <v>1144</v>
      </c>
      <c r="E435" s="20" t="s">
        <v>544</v>
      </c>
      <c r="F435" s="19">
        <v>82041469</v>
      </c>
      <c r="G435" s="19" t="s">
        <v>1147</v>
      </c>
      <c r="H435" s="22">
        <v>46015</v>
      </c>
      <c r="I435" s="28" t="s">
        <v>1157</v>
      </c>
      <c r="J435" s="29">
        <v>489100000</v>
      </c>
      <c r="K435" s="51">
        <v>489100000</v>
      </c>
      <c r="L435" s="26" t="s">
        <v>30</v>
      </c>
      <c r="M435" s="30" t="s">
        <v>1155</v>
      </c>
      <c r="N435" s="31" t="s">
        <v>1158</v>
      </c>
      <c r="O435" s="32"/>
      <c r="P435" s="32"/>
      <c r="Q435" s="31" t="s">
        <v>33</v>
      </c>
      <c r="R435" s="33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spans="1:31" ht="27.6">
      <c r="A436" s="10"/>
      <c r="B436" s="17"/>
      <c r="C436" s="18" t="s">
        <v>27</v>
      </c>
      <c r="D436" s="104" t="s">
        <v>1144</v>
      </c>
      <c r="E436" s="20" t="s">
        <v>544</v>
      </c>
      <c r="F436" s="19">
        <v>82041469</v>
      </c>
      <c r="G436" s="19" t="s">
        <v>1147</v>
      </c>
      <c r="H436" s="22">
        <v>46015</v>
      </c>
      <c r="I436" s="28" t="s">
        <v>1159</v>
      </c>
      <c r="J436" s="29">
        <v>207680000</v>
      </c>
      <c r="K436" s="51">
        <v>207680000</v>
      </c>
      <c r="L436" s="26" t="s">
        <v>30</v>
      </c>
      <c r="M436" s="30" t="s">
        <v>1152</v>
      </c>
      <c r="N436" s="31" t="s">
        <v>1160</v>
      </c>
      <c r="O436" s="32"/>
      <c r="P436" s="32"/>
      <c r="Q436" s="31" t="s">
        <v>33</v>
      </c>
      <c r="R436" s="33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spans="1:31" ht="13.8">
      <c r="A437" s="10"/>
      <c r="B437" s="17"/>
      <c r="C437" s="18" t="s">
        <v>34</v>
      </c>
      <c r="D437" s="19" t="s">
        <v>1161</v>
      </c>
      <c r="E437" s="20" t="s">
        <v>1114</v>
      </c>
      <c r="F437" s="19">
        <v>82020966</v>
      </c>
      <c r="G437" s="19" t="s">
        <v>1162</v>
      </c>
      <c r="H437" s="22">
        <v>46013</v>
      </c>
      <c r="I437" s="28" t="s">
        <v>1163</v>
      </c>
      <c r="J437" s="29">
        <v>17185000</v>
      </c>
      <c r="K437" s="51">
        <v>17185000</v>
      </c>
      <c r="L437" s="26" t="s">
        <v>30</v>
      </c>
      <c r="M437" s="30" t="s">
        <v>1149</v>
      </c>
      <c r="N437" s="31" t="s">
        <v>1164</v>
      </c>
      <c r="O437" s="32"/>
      <c r="P437" s="32"/>
      <c r="Q437" s="31" t="s">
        <v>33</v>
      </c>
      <c r="R437" s="33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spans="1:31" ht="13.8">
      <c r="A438" s="10"/>
      <c r="B438" s="17"/>
      <c r="C438" s="18" t="s">
        <v>34</v>
      </c>
      <c r="D438" s="19" t="s">
        <v>1165</v>
      </c>
      <c r="E438" s="20" t="s">
        <v>1114</v>
      </c>
      <c r="F438" s="19">
        <v>79070942</v>
      </c>
      <c r="G438" s="19" t="s">
        <v>1166</v>
      </c>
      <c r="H438" s="22">
        <v>46013</v>
      </c>
      <c r="I438" s="28" t="s">
        <v>1167</v>
      </c>
      <c r="J438" s="29">
        <v>150000000</v>
      </c>
      <c r="K438" s="51">
        <v>150000000</v>
      </c>
      <c r="L438" s="26" t="s">
        <v>231</v>
      </c>
      <c r="M438" s="30" t="s">
        <v>1168</v>
      </c>
      <c r="N438" s="31" t="s">
        <v>282</v>
      </c>
      <c r="O438" s="32"/>
      <c r="P438" s="32"/>
      <c r="Q438" s="31" t="s">
        <v>33</v>
      </c>
      <c r="R438" s="33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spans="1:31" ht="13.8">
      <c r="A439" s="10"/>
      <c r="B439" s="17"/>
      <c r="C439" s="18" t="s">
        <v>34</v>
      </c>
      <c r="D439" s="19" t="s">
        <v>1165</v>
      </c>
      <c r="E439" s="20" t="s">
        <v>1114</v>
      </c>
      <c r="F439" s="19">
        <v>79070942</v>
      </c>
      <c r="G439" s="19" t="s">
        <v>1169</v>
      </c>
      <c r="H439" s="22">
        <v>46013</v>
      </c>
      <c r="I439" s="28" t="s">
        <v>1170</v>
      </c>
      <c r="J439" s="29">
        <v>134969000</v>
      </c>
      <c r="K439" s="51">
        <v>134969000</v>
      </c>
      <c r="L439" s="26" t="s">
        <v>231</v>
      </c>
      <c r="M439" s="30" t="s">
        <v>1171</v>
      </c>
      <c r="N439" s="31" t="s">
        <v>1172</v>
      </c>
      <c r="O439" s="32"/>
      <c r="P439" s="32"/>
      <c r="Q439" s="31" t="s">
        <v>33</v>
      </c>
      <c r="R439" s="33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spans="1:31" ht="13.8">
      <c r="A440" s="10"/>
      <c r="B440" s="17"/>
      <c r="C440" s="18" t="s">
        <v>34</v>
      </c>
      <c r="D440" s="19" t="s">
        <v>1165</v>
      </c>
      <c r="E440" s="20" t="s">
        <v>1114</v>
      </c>
      <c r="F440" s="19">
        <v>79070942</v>
      </c>
      <c r="G440" s="19" t="s">
        <v>1173</v>
      </c>
      <c r="H440" s="22">
        <v>46013</v>
      </c>
      <c r="I440" s="28" t="s">
        <v>1174</v>
      </c>
      <c r="J440" s="29">
        <v>94040000</v>
      </c>
      <c r="K440" s="51">
        <v>94040000</v>
      </c>
      <c r="L440" s="26" t="s">
        <v>231</v>
      </c>
      <c r="M440" s="30" t="s">
        <v>1138</v>
      </c>
      <c r="N440" s="31" t="s">
        <v>1175</v>
      </c>
      <c r="O440" s="32"/>
      <c r="P440" s="32"/>
      <c r="Q440" s="31" t="s">
        <v>33</v>
      </c>
      <c r="R440" s="33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spans="1:31" ht="27.6">
      <c r="A441" s="10"/>
      <c r="B441" s="17"/>
      <c r="C441" s="18" t="s">
        <v>34</v>
      </c>
      <c r="D441" s="19" t="s">
        <v>1165</v>
      </c>
      <c r="E441" s="20" t="s">
        <v>1114</v>
      </c>
      <c r="F441" s="19">
        <v>79070942</v>
      </c>
      <c r="G441" s="19" t="s">
        <v>1176</v>
      </c>
      <c r="H441" s="22">
        <v>46013</v>
      </c>
      <c r="I441" s="28" t="s">
        <v>1177</v>
      </c>
      <c r="J441" s="29">
        <v>62552000</v>
      </c>
      <c r="K441" s="51">
        <v>62552000</v>
      </c>
      <c r="L441" s="26" t="s">
        <v>231</v>
      </c>
      <c r="M441" s="30" t="s">
        <v>1178</v>
      </c>
      <c r="N441" s="31" t="s">
        <v>1179</v>
      </c>
      <c r="O441" s="32"/>
      <c r="P441" s="32"/>
      <c r="Q441" s="31" t="s">
        <v>33</v>
      </c>
      <c r="R441" s="33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spans="1:31" ht="13.8">
      <c r="A442" s="10"/>
      <c r="B442" s="17"/>
      <c r="C442" s="18" t="s">
        <v>34</v>
      </c>
      <c r="D442" s="19" t="s">
        <v>1180</v>
      </c>
      <c r="E442" s="20" t="s">
        <v>1114</v>
      </c>
      <c r="F442" s="19">
        <v>79080492</v>
      </c>
      <c r="G442" s="19" t="s">
        <v>1181</v>
      </c>
      <c r="H442" s="22">
        <v>46013</v>
      </c>
      <c r="I442" s="28" t="s">
        <v>1182</v>
      </c>
      <c r="J442" s="29">
        <v>147704000</v>
      </c>
      <c r="K442" s="51">
        <v>147704000</v>
      </c>
      <c r="L442" s="26" t="s">
        <v>231</v>
      </c>
      <c r="M442" s="30" t="s">
        <v>1183</v>
      </c>
      <c r="N442" s="31" t="s">
        <v>1184</v>
      </c>
      <c r="O442" s="32"/>
      <c r="P442" s="32"/>
      <c r="Q442" s="31" t="s">
        <v>33</v>
      </c>
      <c r="R442" s="33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spans="1:31" ht="13.8">
      <c r="A443" s="10"/>
      <c r="B443" s="17"/>
      <c r="C443" s="21"/>
      <c r="D443" s="21"/>
      <c r="E443" s="21"/>
      <c r="F443" s="21"/>
      <c r="G443" s="21"/>
      <c r="H443" s="22"/>
      <c r="I443" s="28" t="s">
        <v>41</v>
      </c>
      <c r="J443" s="29"/>
      <c r="K443" s="24"/>
      <c r="L443" s="24"/>
      <c r="M443" s="35"/>
      <c r="N443" s="31"/>
      <c r="O443" s="36"/>
      <c r="P443" s="36"/>
      <c r="Q443" s="24"/>
      <c r="R443" s="37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spans="1:31" ht="13.8">
      <c r="A444" s="10">
        <v>28</v>
      </c>
      <c r="B444" s="17" t="s">
        <v>1185</v>
      </c>
      <c r="C444" s="18" t="s">
        <v>23</v>
      </c>
      <c r="D444" s="19" t="s">
        <v>1186</v>
      </c>
      <c r="E444" s="20" t="s">
        <v>544</v>
      </c>
      <c r="F444" s="19">
        <v>84011263</v>
      </c>
      <c r="G444" s="19" t="s">
        <v>241</v>
      </c>
      <c r="H444" s="105" t="s">
        <v>1187</v>
      </c>
      <c r="I444" s="28" t="s">
        <v>41</v>
      </c>
      <c r="J444" s="29"/>
      <c r="K444" s="24"/>
      <c r="L444" s="24"/>
      <c r="M444" s="35"/>
      <c r="N444" s="31"/>
      <c r="O444" s="36"/>
      <c r="P444" s="36"/>
      <c r="Q444" s="31"/>
      <c r="R444" s="33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spans="1:31" ht="13.8">
      <c r="A445" s="10"/>
      <c r="B445" s="17"/>
      <c r="C445" s="18" t="s">
        <v>27</v>
      </c>
      <c r="D445" s="19" t="s">
        <v>1186</v>
      </c>
      <c r="E445" s="20" t="s">
        <v>544</v>
      </c>
      <c r="F445" s="19">
        <v>84011263</v>
      </c>
      <c r="G445" s="19" t="s">
        <v>1188</v>
      </c>
      <c r="H445" s="105" t="s">
        <v>1189</v>
      </c>
      <c r="I445" s="28" t="s">
        <v>1190</v>
      </c>
      <c r="J445" s="29">
        <v>759200000</v>
      </c>
      <c r="K445" s="106">
        <f t="shared" ref="K445:K452" si="0">J445</f>
        <v>759200000</v>
      </c>
      <c r="L445" s="26" t="s">
        <v>30</v>
      </c>
      <c r="M445" s="30" t="s">
        <v>1078</v>
      </c>
      <c r="N445" s="31" t="s">
        <v>1191</v>
      </c>
      <c r="O445" s="32"/>
      <c r="P445" s="32"/>
      <c r="Q445" s="31" t="s">
        <v>33</v>
      </c>
      <c r="R445" s="33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spans="1:31" ht="13.8">
      <c r="A446" s="10"/>
      <c r="B446" s="17"/>
      <c r="C446" s="18" t="s">
        <v>27</v>
      </c>
      <c r="D446" s="19" t="s">
        <v>1186</v>
      </c>
      <c r="E446" s="20" t="s">
        <v>544</v>
      </c>
      <c r="F446" s="19">
        <v>84011263</v>
      </c>
      <c r="G446" s="19" t="s">
        <v>1188</v>
      </c>
      <c r="H446" s="105" t="s">
        <v>1189</v>
      </c>
      <c r="I446" s="28" t="s">
        <v>1192</v>
      </c>
      <c r="J446" s="29">
        <v>625000000</v>
      </c>
      <c r="K446" s="51">
        <f t="shared" si="0"/>
        <v>625000000</v>
      </c>
      <c r="L446" s="26" t="s">
        <v>30</v>
      </c>
      <c r="M446" s="30" t="s">
        <v>141</v>
      </c>
      <c r="N446" s="31" t="s">
        <v>1193</v>
      </c>
      <c r="O446" s="32"/>
      <c r="P446" s="32"/>
      <c r="Q446" s="31" t="s">
        <v>33</v>
      </c>
      <c r="R446" s="33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spans="1:31" ht="13.8">
      <c r="A447" s="10"/>
      <c r="B447" s="17"/>
      <c r="C447" s="18" t="s">
        <v>27</v>
      </c>
      <c r="D447" s="19" t="s">
        <v>1186</v>
      </c>
      <c r="E447" s="20" t="s">
        <v>544</v>
      </c>
      <c r="F447" s="19">
        <v>84011263</v>
      </c>
      <c r="G447" s="19" t="s">
        <v>1188</v>
      </c>
      <c r="H447" s="105" t="s">
        <v>1189</v>
      </c>
      <c r="I447" s="28" t="s">
        <v>1194</v>
      </c>
      <c r="J447" s="29">
        <v>714800000</v>
      </c>
      <c r="K447" s="106">
        <f t="shared" si="0"/>
        <v>714800000</v>
      </c>
      <c r="L447" s="26" t="s">
        <v>30</v>
      </c>
      <c r="M447" s="30" t="s">
        <v>1195</v>
      </c>
      <c r="N447" s="31" t="s">
        <v>1196</v>
      </c>
      <c r="O447" s="32"/>
      <c r="P447" s="32"/>
      <c r="Q447" s="31" t="s">
        <v>33</v>
      </c>
      <c r="R447" s="33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spans="1:31" ht="13.8">
      <c r="A448" s="10"/>
      <c r="B448" s="17"/>
      <c r="C448" s="18" t="s">
        <v>34</v>
      </c>
      <c r="D448" s="19" t="s">
        <v>1197</v>
      </c>
      <c r="E448" s="20" t="s">
        <v>1198</v>
      </c>
      <c r="F448" s="52" t="s">
        <v>1199</v>
      </c>
      <c r="G448" s="19" t="s">
        <v>1200</v>
      </c>
      <c r="H448" s="105" t="s">
        <v>1201</v>
      </c>
      <c r="I448" s="28" t="s">
        <v>1202</v>
      </c>
      <c r="J448" s="29">
        <v>76080000</v>
      </c>
      <c r="K448" s="106">
        <f t="shared" si="0"/>
        <v>76080000</v>
      </c>
      <c r="L448" s="26" t="s">
        <v>30</v>
      </c>
      <c r="M448" s="30" t="s">
        <v>1203</v>
      </c>
      <c r="N448" s="31" t="s">
        <v>1204</v>
      </c>
      <c r="O448" s="32"/>
      <c r="P448" s="32"/>
      <c r="Q448" s="31" t="s">
        <v>33</v>
      </c>
      <c r="R448" s="33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spans="1:31" ht="13.8">
      <c r="A449" s="10"/>
      <c r="B449" s="17"/>
      <c r="C449" s="18" t="s">
        <v>34</v>
      </c>
      <c r="D449" s="19" t="s">
        <v>1197</v>
      </c>
      <c r="E449" s="20" t="s">
        <v>1198</v>
      </c>
      <c r="F449" s="52" t="s">
        <v>1199</v>
      </c>
      <c r="G449" s="19" t="s">
        <v>1200</v>
      </c>
      <c r="H449" s="105" t="s">
        <v>1201</v>
      </c>
      <c r="I449" s="28" t="s">
        <v>1205</v>
      </c>
      <c r="J449" s="29">
        <v>78240000</v>
      </c>
      <c r="K449" s="106">
        <f t="shared" si="0"/>
        <v>78240000</v>
      </c>
      <c r="L449" s="26" t="s">
        <v>30</v>
      </c>
      <c r="M449" s="30" t="s">
        <v>1206</v>
      </c>
      <c r="N449" s="31" t="s">
        <v>1207</v>
      </c>
      <c r="O449" s="32"/>
      <c r="P449" s="32"/>
      <c r="Q449" s="31" t="s">
        <v>33</v>
      </c>
      <c r="R449" s="33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spans="1:31" ht="13.8">
      <c r="A450" s="10"/>
      <c r="B450" s="17"/>
      <c r="C450" s="18" t="s">
        <v>34</v>
      </c>
      <c r="D450" s="19" t="s">
        <v>1197</v>
      </c>
      <c r="E450" s="20" t="s">
        <v>1198</v>
      </c>
      <c r="F450" s="52" t="s">
        <v>1199</v>
      </c>
      <c r="G450" s="19" t="s">
        <v>1200</v>
      </c>
      <c r="H450" s="105" t="s">
        <v>1201</v>
      </c>
      <c r="I450" s="28" t="s">
        <v>1208</v>
      </c>
      <c r="J450" s="29">
        <v>96000000</v>
      </c>
      <c r="K450" s="106">
        <f t="shared" si="0"/>
        <v>96000000</v>
      </c>
      <c r="L450" s="26" t="s">
        <v>231</v>
      </c>
      <c r="M450" s="30" t="s">
        <v>1209</v>
      </c>
      <c r="N450" s="31" t="s">
        <v>1210</v>
      </c>
      <c r="O450" s="32"/>
      <c r="P450" s="32"/>
      <c r="Q450" s="31" t="s">
        <v>33</v>
      </c>
      <c r="R450" s="33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spans="1:31" ht="13.8">
      <c r="A451" s="11"/>
      <c r="B451" s="107"/>
      <c r="C451" s="18" t="s">
        <v>34</v>
      </c>
      <c r="D451" s="19" t="s">
        <v>1197</v>
      </c>
      <c r="E451" s="20" t="s">
        <v>1198</v>
      </c>
      <c r="F451" s="52" t="s">
        <v>1199</v>
      </c>
      <c r="G451" s="19" t="s">
        <v>1200</v>
      </c>
      <c r="H451" s="105" t="s">
        <v>1201</v>
      </c>
      <c r="I451" s="108" t="s">
        <v>1211</v>
      </c>
      <c r="J451" s="29">
        <v>122915000</v>
      </c>
      <c r="K451" s="106">
        <f t="shared" si="0"/>
        <v>122915000</v>
      </c>
      <c r="L451" s="26" t="s">
        <v>30</v>
      </c>
      <c r="M451" s="30" t="s">
        <v>1212</v>
      </c>
      <c r="N451" s="31" t="s">
        <v>1213</v>
      </c>
      <c r="O451" s="32"/>
      <c r="P451" s="32"/>
      <c r="Q451" s="31" t="s">
        <v>33</v>
      </c>
      <c r="R451" s="33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</row>
    <row r="452" spans="1:31" ht="13.8">
      <c r="A452" s="11"/>
      <c r="B452" s="107"/>
      <c r="C452" s="18" t="s">
        <v>34</v>
      </c>
      <c r="D452" s="19" t="s">
        <v>1197</v>
      </c>
      <c r="E452" s="20" t="s">
        <v>1198</v>
      </c>
      <c r="F452" s="52" t="s">
        <v>1199</v>
      </c>
      <c r="G452" s="19" t="s">
        <v>1200</v>
      </c>
      <c r="H452" s="105" t="s">
        <v>1201</v>
      </c>
      <c r="I452" s="108" t="s">
        <v>1214</v>
      </c>
      <c r="J452" s="29">
        <v>144000000</v>
      </c>
      <c r="K452" s="106">
        <f t="shared" si="0"/>
        <v>144000000</v>
      </c>
      <c r="L452" s="26" t="s">
        <v>30</v>
      </c>
      <c r="M452" s="30" t="s">
        <v>1215</v>
      </c>
      <c r="N452" s="31" t="s">
        <v>1216</v>
      </c>
      <c r="O452" s="32"/>
      <c r="P452" s="32"/>
      <c r="Q452" s="31" t="s">
        <v>33</v>
      </c>
      <c r="R452" s="33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</row>
    <row r="453" spans="1:31" ht="13.8">
      <c r="A453" s="11"/>
      <c r="B453" s="107"/>
      <c r="C453" s="21"/>
      <c r="D453" s="21"/>
      <c r="E453" s="21"/>
      <c r="F453" s="21"/>
      <c r="G453" s="21"/>
      <c r="H453" s="22"/>
      <c r="I453" s="108" t="s">
        <v>41</v>
      </c>
      <c r="J453" s="29"/>
      <c r="K453" s="24"/>
      <c r="L453" s="24"/>
      <c r="M453" s="35"/>
      <c r="N453" s="31"/>
      <c r="O453" s="36"/>
      <c r="P453" s="36"/>
      <c r="Q453" s="26"/>
      <c r="R453" s="27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</row>
    <row r="454" spans="1:31" ht="13.8">
      <c r="A454" s="11">
        <v>29</v>
      </c>
      <c r="B454" s="107" t="s">
        <v>1217</v>
      </c>
      <c r="C454" s="18" t="s">
        <v>23</v>
      </c>
      <c r="D454" s="19" t="s">
        <v>1218</v>
      </c>
      <c r="E454" s="20" t="s">
        <v>544</v>
      </c>
      <c r="F454" s="19">
        <v>82011108</v>
      </c>
      <c r="G454" s="19" t="s">
        <v>1145</v>
      </c>
      <c r="H454" s="22">
        <v>45728</v>
      </c>
      <c r="I454" s="108" t="s">
        <v>41</v>
      </c>
      <c r="J454" s="29"/>
      <c r="K454" s="24"/>
      <c r="L454" s="24"/>
      <c r="M454" s="35"/>
      <c r="N454" s="31"/>
      <c r="O454" s="36"/>
      <c r="P454" s="36"/>
      <c r="Q454" s="31" t="s">
        <v>33</v>
      </c>
      <c r="R454" s="33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</row>
    <row r="455" spans="1:31" ht="27.6">
      <c r="A455" s="10"/>
      <c r="B455" s="17"/>
      <c r="C455" s="18" t="s">
        <v>27</v>
      </c>
      <c r="D455" s="19" t="s">
        <v>1218</v>
      </c>
      <c r="E455" s="20" t="s">
        <v>544</v>
      </c>
      <c r="F455" s="19">
        <v>82011108</v>
      </c>
      <c r="G455" s="19" t="s">
        <v>1219</v>
      </c>
      <c r="H455" s="22">
        <v>46014</v>
      </c>
      <c r="I455" s="28" t="s">
        <v>1220</v>
      </c>
      <c r="J455" s="29">
        <v>533995000</v>
      </c>
      <c r="K455" s="51">
        <v>533995000</v>
      </c>
      <c r="L455" s="26" t="s">
        <v>30</v>
      </c>
      <c r="M455" s="30" t="s">
        <v>1221</v>
      </c>
      <c r="N455" s="31" t="s">
        <v>1222</v>
      </c>
      <c r="O455" s="32"/>
      <c r="P455" s="32"/>
      <c r="Q455" s="31" t="s">
        <v>33</v>
      </c>
      <c r="R455" s="33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spans="1:31" ht="27.6">
      <c r="A456" s="10"/>
      <c r="B456" s="17"/>
      <c r="C456" s="18" t="s">
        <v>27</v>
      </c>
      <c r="D456" s="19" t="s">
        <v>1218</v>
      </c>
      <c r="E456" s="20" t="s">
        <v>544</v>
      </c>
      <c r="F456" s="19">
        <v>82011108</v>
      </c>
      <c r="G456" s="19" t="s">
        <v>1219</v>
      </c>
      <c r="H456" s="22">
        <v>46014</v>
      </c>
      <c r="I456" s="28" t="s">
        <v>1223</v>
      </c>
      <c r="J456" s="29">
        <v>500000000</v>
      </c>
      <c r="K456" s="51">
        <v>500000000</v>
      </c>
      <c r="L456" s="26" t="s">
        <v>30</v>
      </c>
      <c r="M456" s="30" t="s">
        <v>1221</v>
      </c>
      <c r="N456" s="31" t="s">
        <v>1224</v>
      </c>
      <c r="O456" s="32"/>
      <c r="P456" s="32"/>
      <c r="Q456" s="31" t="s">
        <v>33</v>
      </c>
      <c r="R456" s="33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spans="1:31" ht="55.2">
      <c r="A457" s="10"/>
      <c r="B457" s="17"/>
      <c r="C457" s="18" t="s">
        <v>27</v>
      </c>
      <c r="D457" s="19" t="s">
        <v>1218</v>
      </c>
      <c r="E457" s="20" t="s">
        <v>544</v>
      </c>
      <c r="F457" s="19">
        <v>82011108</v>
      </c>
      <c r="G457" s="19" t="s">
        <v>1219</v>
      </c>
      <c r="H457" s="22">
        <v>46014</v>
      </c>
      <c r="I457" s="28" t="s">
        <v>1225</v>
      </c>
      <c r="J457" s="29">
        <v>970900000</v>
      </c>
      <c r="K457" s="51">
        <v>970900000</v>
      </c>
      <c r="L457" s="26" t="s">
        <v>30</v>
      </c>
      <c r="M457" s="30" t="s">
        <v>1226</v>
      </c>
      <c r="N457" s="31" t="s">
        <v>1227</v>
      </c>
      <c r="O457" s="32"/>
      <c r="P457" s="32"/>
      <c r="Q457" s="31" t="s">
        <v>33</v>
      </c>
      <c r="R457" s="33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spans="1:31" ht="27.6">
      <c r="A458" s="10"/>
      <c r="B458" s="17"/>
      <c r="C458" s="18" t="s">
        <v>27</v>
      </c>
      <c r="D458" s="19" t="s">
        <v>1218</v>
      </c>
      <c r="E458" s="20" t="s">
        <v>544</v>
      </c>
      <c r="F458" s="19">
        <v>82011108</v>
      </c>
      <c r="G458" s="19" t="s">
        <v>1219</v>
      </c>
      <c r="H458" s="22">
        <v>46014</v>
      </c>
      <c r="I458" s="28" t="s">
        <v>1228</v>
      </c>
      <c r="J458" s="29">
        <v>291270000</v>
      </c>
      <c r="K458" s="51">
        <v>291270000</v>
      </c>
      <c r="L458" s="26" t="s">
        <v>30</v>
      </c>
      <c r="M458" s="30" t="s">
        <v>1226</v>
      </c>
      <c r="N458" s="31" t="s">
        <v>1229</v>
      </c>
      <c r="O458" s="32"/>
      <c r="P458" s="32"/>
      <c r="Q458" s="31" t="s">
        <v>33</v>
      </c>
      <c r="R458" s="33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spans="1:31" ht="41.4">
      <c r="A459" s="10"/>
      <c r="B459" s="17"/>
      <c r="C459" s="18" t="s">
        <v>27</v>
      </c>
      <c r="D459" s="19" t="s">
        <v>1218</v>
      </c>
      <c r="E459" s="20" t="s">
        <v>544</v>
      </c>
      <c r="F459" s="19">
        <v>82011108</v>
      </c>
      <c r="G459" s="19" t="s">
        <v>1219</v>
      </c>
      <c r="H459" s="22">
        <v>46014</v>
      </c>
      <c r="I459" s="28" t="s">
        <v>1230</v>
      </c>
      <c r="J459" s="29">
        <v>873810000</v>
      </c>
      <c r="K459" s="51">
        <v>873810000</v>
      </c>
      <c r="L459" s="26" t="s">
        <v>30</v>
      </c>
      <c r="M459" s="30" t="s">
        <v>1226</v>
      </c>
      <c r="N459" s="31" t="s">
        <v>1231</v>
      </c>
      <c r="O459" s="32"/>
      <c r="P459" s="32"/>
      <c r="Q459" s="31" t="s">
        <v>33</v>
      </c>
      <c r="R459" s="33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spans="1:31" ht="13.8">
      <c r="A460" s="10"/>
      <c r="B460" s="17"/>
      <c r="C460" s="18" t="s">
        <v>34</v>
      </c>
      <c r="D460" s="19" t="s">
        <v>1232</v>
      </c>
      <c r="E460" s="20" t="s">
        <v>1114</v>
      </c>
      <c r="F460" s="19">
        <v>69060426</v>
      </c>
      <c r="G460" s="19" t="s">
        <v>1233</v>
      </c>
      <c r="H460" s="22">
        <v>46020</v>
      </c>
      <c r="I460" s="28" t="s">
        <v>1234</v>
      </c>
      <c r="J460" s="29">
        <v>132000000</v>
      </c>
      <c r="K460" s="51">
        <v>132000000</v>
      </c>
      <c r="L460" s="26" t="s">
        <v>231</v>
      </c>
      <c r="M460" s="30" t="s">
        <v>1235</v>
      </c>
      <c r="N460" s="31" t="s">
        <v>1236</v>
      </c>
      <c r="O460" s="32"/>
      <c r="P460" s="32"/>
      <c r="Q460" s="31" t="s">
        <v>33</v>
      </c>
      <c r="R460" s="33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spans="1:31" ht="27.6">
      <c r="A461" s="10"/>
      <c r="B461" s="17"/>
      <c r="C461" s="18" t="s">
        <v>34</v>
      </c>
      <c r="D461" s="19" t="s">
        <v>1232</v>
      </c>
      <c r="E461" s="20" t="s">
        <v>1114</v>
      </c>
      <c r="F461" s="19">
        <v>69060426</v>
      </c>
      <c r="G461" s="19" t="s">
        <v>1233</v>
      </c>
      <c r="H461" s="22">
        <v>46020</v>
      </c>
      <c r="I461" s="28" t="s">
        <v>1237</v>
      </c>
      <c r="J461" s="29">
        <v>86400000</v>
      </c>
      <c r="K461" s="51">
        <v>86400000</v>
      </c>
      <c r="L461" s="26" t="s">
        <v>30</v>
      </c>
      <c r="M461" s="30" t="s">
        <v>1238</v>
      </c>
      <c r="N461" s="31" t="s">
        <v>1239</v>
      </c>
      <c r="O461" s="32"/>
      <c r="P461" s="32"/>
      <c r="Q461" s="31" t="s">
        <v>33</v>
      </c>
      <c r="R461" s="33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spans="1:31" ht="27.6">
      <c r="A462" s="10"/>
      <c r="B462" s="17"/>
      <c r="C462" s="18" t="s">
        <v>34</v>
      </c>
      <c r="D462" s="19" t="s">
        <v>1232</v>
      </c>
      <c r="E462" s="20" t="s">
        <v>1114</v>
      </c>
      <c r="F462" s="19">
        <v>69060426</v>
      </c>
      <c r="G462" s="19" t="s">
        <v>1233</v>
      </c>
      <c r="H462" s="22">
        <v>46020</v>
      </c>
      <c r="I462" s="28" t="s">
        <v>1240</v>
      </c>
      <c r="J462" s="29">
        <v>171863000</v>
      </c>
      <c r="K462" s="51">
        <v>171863000</v>
      </c>
      <c r="L462" s="26" t="s">
        <v>30</v>
      </c>
      <c r="M462" s="30" t="s">
        <v>1241</v>
      </c>
      <c r="N462" s="31" t="s">
        <v>1242</v>
      </c>
      <c r="O462" s="32"/>
      <c r="P462" s="32"/>
      <c r="Q462" s="31" t="s">
        <v>33</v>
      </c>
      <c r="R462" s="33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spans="1:31" ht="13.8">
      <c r="A463" s="10"/>
      <c r="B463" s="17"/>
      <c r="C463" s="18" t="s">
        <v>34</v>
      </c>
      <c r="D463" s="19" t="s">
        <v>1232</v>
      </c>
      <c r="E463" s="20" t="s">
        <v>1114</v>
      </c>
      <c r="F463" s="19">
        <v>69060426</v>
      </c>
      <c r="G463" s="19" t="s">
        <v>1233</v>
      </c>
      <c r="H463" s="22">
        <v>46020</v>
      </c>
      <c r="I463" s="28" t="s">
        <v>1243</v>
      </c>
      <c r="J463" s="29">
        <v>140000000</v>
      </c>
      <c r="K463" s="51">
        <v>140000000</v>
      </c>
      <c r="L463" s="26" t="s">
        <v>30</v>
      </c>
      <c r="M463" s="30" t="s">
        <v>1241</v>
      </c>
      <c r="N463" s="31" t="s">
        <v>1244</v>
      </c>
      <c r="O463" s="32"/>
      <c r="P463" s="32"/>
      <c r="Q463" s="31" t="s">
        <v>33</v>
      </c>
      <c r="R463" s="33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spans="1:31" ht="27.6">
      <c r="A464" s="10"/>
      <c r="B464" s="17"/>
      <c r="C464" s="18" t="s">
        <v>27</v>
      </c>
      <c r="D464" s="19" t="s">
        <v>1218</v>
      </c>
      <c r="E464" s="20" t="s">
        <v>544</v>
      </c>
      <c r="F464" s="19">
        <v>82011108</v>
      </c>
      <c r="G464" s="19" t="s">
        <v>1219</v>
      </c>
      <c r="H464" s="22">
        <v>46014</v>
      </c>
      <c r="I464" s="28" t="s">
        <v>1245</v>
      </c>
      <c r="J464" s="29">
        <v>681600000</v>
      </c>
      <c r="K464" s="51">
        <v>681600000</v>
      </c>
      <c r="L464" s="26" t="s">
        <v>30</v>
      </c>
      <c r="M464" s="30" t="s">
        <v>1238</v>
      </c>
      <c r="N464" s="31" t="s">
        <v>1246</v>
      </c>
      <c r="O464" s="32"/>
      <c r="P464" s="32"/>
      <c r="Q464" s="31" t="s">
        <v>33</v>
      </c>
      <c r="R464" s="33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spans="1:31" ht="13.8">
      <c r="A465" s="10"/>
      <c r="B465" s="17"/>
      <c r="C465" s="18" t="s">
        <v>34</v>
      </c>
      <c r="D465" s="19" t="s">
        <v>1232</v>
      </c>
      <c r="E465" s="20" t="s">
        <v>1114</v>
      </c>
      <c r="F465" s="19">
        <v>69060426</v>
      </c>
      <c r="G465" s="19" t="s">
        <v>1233</v>
      </c>
      <c r="H465" s="22">
        <v>46020</v>
      </c>
      <c r="I465" s="28" t="s">
        <v>1247</v>
      </c>
      <c r="J465" s="29">
        <v>55015000</v>
      </c>
      <c r="K465" s="51">
        <v>55015000</v>
      </c>
      <c r="L465" s="26" t="s">
        <v>30</v>
      </c>
      <c r="M465" s="30" t="s">
        <v>1238</v>
      </c>
      <c r="N465" s="31" t="s">
        <v>1248</v>
      </c>
      <c r="O465" s="32"/>
      <c r="P465" s="32"/>
      <c r="Q465" s="31" t="s">
        <v>33</v>
      </c>
      <c r="R465" s="33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spans="1:31" ht="13.8">
      <c r="A466" s="10"/>
      <c r="B466" s="17"/>
      <c r="C466" s="18" t="s">
        <v>34</v>
      </c>
      <c r="D466" s="19" t="s">
        <v>1232</v>
      </c>
      <c r="E466" s="20" t="s">
        <v>1114</v>
      </c>
      <c r="F466" s="19">
        <v>69060426</v>
      </c>
      <c r="G466" s="19" t="s">
        <v>1233</v>
      </c>
      <c r="H466" s="22">
        <v>46020</v>
      </c>
      <c r="I466" s="28" t="s">
        <v>1249</v>
      </c>
      <c r="J466" s="29">
        <v>32791000</v>
      </c>
      <c r="K466" s="51">
        <v>32791000</v>
      </c>
      <c r="L466" s="26" t="s">
        <v>30</v>
      </c>
      <c r="M466" s="30" t="s">
        <v>1238</v>
      </c>
      <c r="N466" s="31" t="s">
        <v>1250</v>
      </c>
      <c r="O466" s="32"/>
      <c r="P466" s="32"/>
      <c r="Q466" s="31" t="s">
        <v>33</v>
      </c>
      <c r="R466" s="33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spans="1:31" ht="13.8">
      <c r="A467" s="10"/>
      <c r="B467" s="17"/>
      <c r="C467" s="18" t="s">
        <v>34</v>
      </c>
      <c r="D467" s="109" t="s">
        <v>1232</v>
      </c>
      <c r="E467" s="20" t="s">
        <v>1114</v>
      </c>
      <c r="F467" s="109">
        <v>69060426</v>
      </c>
      <c r="G467" s="109" t="s">
        <v>1233</v>
      </c>
      <c r="H467" s="22">
        <v>46020</v>
      </c>
      <c r="I467" s="49" t="s">
        <v>1251</v>
      </c>
      <c r="J467" s="29">
        <v>83179000</v>
      </c>
      <c r="K467" s="110">
        <v>83179000</v>
      </c>
      <c r="L467" s="26" t="s">
        <v>30</v>
      </c>
      <c r="M467" s="111" t="s">
        <v>1238</v>
      </c>
      <c r="N467" s="31" t="s">
        <v>1252</v>
      </c>
      <c r="O467" s="32"/>
      <c r="P467" s="32"/>
      <c r="Q467" s="31" t="s">
        <v>33</v>
      </c>
      <c r="R467" s="33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spans="1:31" ht="13.8">
      <c r="A468" s="10"/>
      <c r="B468" s="17"/>
      <c r="C468" s="48"/>
      <c r="D468" s="48"/>
      <c r="E468" s="48"/>
      <c r="F468" s="48"/>
      <c r="G468" s="48"/>
      <c r="H468" s="22"/>
      <c r="I468" s="49"/>
      <c r="J468" s="29"/>
      <c r="K468" s="37"/>
      <c r="L468" s="37"/>
      <c r="M468" s="50"/>
      <c r="N468" s="31"/>
      <c r="O468" s="36"/>
      <c r="P468" s="36"/>
      <c r="Q468" s="24"/>
      <c r="R468" s="37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spans="1:31" ht="13.8">
      <c r="A469" s="10">
        <v>30</v>
      </c>
      <c r="B469" s="17" t="s">
        <v>1253</v>
      </c>
      <c r="C469" s="18" t="s">
        <v>23</v>
      </c>
      <c r="D469" s="19" t="s">
        <v>1254</v>
      </c>
      <c r="E469" s="20" t="s">
        <v>544</v>
      </c>
      <c r="F469" s="19">
        <v>78081584</v>
      </c>
      <c r="G469" s="19" t="s">
        <v>115</v>
      </c>
      <c r="H469" s="22">
        <v>45655</v>
      </c>
      <c r="I469" s="28" t="s">
        <v>41</v>
      </c>
      <c r="J469" s="29"/>
      <c r="K469" s="24"/>
      <c r="L469" s="24"/>
      <c r="M469" s="35"/>
      <c r="N469" s="31"/>
      <c r="O469" s="36"/>
      <c r="P469" s="36"/>
      <c r="Q469" s="31" t="s">
        <v>33</v>
      </c>
      <c r="R469" s="33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spans="1:31" ht="13.8">
      <c r="A470" s="53"/>
      <c r="B470" s="53"/>
      <c r="C470" s="18" t="s">
        <v>27</v>
      </c>
      <c r="D470" s="19" t="s">
        <v>1254</v>
      </c>
      <c r="E470" s="20" t="s">
        <v>544</v>
      </c>
      <c r="F470" s="19">
        <v>78081584</v>
      </c>
      <c r="G470" s="19" t="s">
        <v>1255</v>
      </c>
      <c r="H470" s="22">
        <v>45688</v>
      </c>
      <c r="I470" s="28" t="s">
        <v>1256</v>
      </c>
      <c r="J470" s="29">
        <v>365730000</v>
      </c>
      <c r="K470" s="51">
        <v>365730000</v>
      </c>
      <c r="L470" s="26" t="s">
        <v>30</v>
      </c>
      <c r="M470" s="30" t="s">
        <v>1257</v>
      </c>
      <c r="N470" s="31" t="s">
        <v>1258</v>
      </c>
      <c r="O470" s="32"/>
      <c r="P470" s="32"/>
      <c r="Q470" s="31" t="s">
        <v>33</v>
      </c>
      <c r="R470" s="33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spans="1:31" ht="13.8">
      <c r="A471" s="10"/>
      <c r="B471" s="17"/>
      <c r="C471" s="18" t="s">
        <v>27</v>
      </c>
      <c r="D471" s="19" t="s">
        <v>1254</v>
      </c>
      <c r="E471" s="20" t="s">
        <v>544</v>
      </c>
      <c r="F471" s="19">
        <v>78081584</v>
      </c>
      <c r="G471" s="19" t="s">
        <v>1255</v>
      </c>
      <c r="H471" s="22">
        <v>45688</v>
      </c>
      <c r="I471" s="28" t="s">
        <v>1259</v>
      </c>
      <c r="J471" s="29">
        <v>200000000</v>
      </c>
      <c r="K471" s="51">
        <v>200000000</v>
      </c>
      <c r="L471" s="26" t="s">
        <v>30</v>
      </c>
      <c r="M471" s="30" t="s">
        <v>1257</v>
      </c>
      <c r="N471" s="31" t="s">
        <v>1260</v>
      </c>
      <c r="O471" s="32"/>
      <c r="P471" s="32"/>
      <c r="Q471" s="31" t="s">
        <v>33</v>
      </c>
      <c r="R471" s="33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spans="1:31" ht="13.8">
      <c r="A472" s="10"/>
      <c r="B472" s="17"/>
      <c r="C472" s="18" t="s">
        <v>27</v>
      </c>
      <c r="D472" s="19" t="s">
        <v>1254</v>
      </c>
      <c r="E472" s="20" t="s">
        <v>544</v>
      </c>
      <c r="F472" s="19">
        <v>78081584</v>
      </c>
      <c r="G472" s="19" t="s">
        <v>1255</v>
      </c>
      <c r="H472" s="22">
        <v>45688</v>
      </c>
      <c r="I472" s="28" t="s">
        <v>1261</v>
      </c>
      <c r="J472" s="29">
        <v>400800000</v>
      </c>
      <c r="K472" s="51">
        <v>400800000</v>
      </c>
      <c r="L472" s="26" t="s">
        <v>30</v>
      </c>
      <c r="M472" s="30" t="s">
        <v>1262</v>
      </c>
      <c r="N472" s="31" t="s">
        <v>1263</v>
      </c>
      <c r="O472" s="32"/>
      <c r="P472" s="32"/>
      <c r="Q472" s="31" t="s">
        <v>33</v>
      </c>
      <c r="R472" s="33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spans="1:31" ht="13.8">
      <c r="A473" s="10"/>
      <c r="B473" s="17"/>
      <c r="C473" s="18" t="s">
        <v>34</v>
      </c>
      <c r="D473" s="19" t="s">
        <v>208</v>
      </c>
      <c r="E473" s="20" t="s">
        <v>124</v>
      </c>
      <c r="F473" s="19">
        <v>87100049</v>
      </c>
      <c r="G473" s="19" t="s">
        <v>1264</v>
      </c>
      <c r="H473" s="22">
        <v>46010</v>
      </c>
      <c r="I473" s="28" t="s">
        <v>1265</v>
      </c>
      <c r="J473" s="29">
        <v>60000000</v>
      </c>
      <c r="K473" s="51">
        <v>60000000</v>
      </c>
      <c r="L473" s="26" t="s">
        <v>30</v>
      </c>
      <c r="M473" s="30" t="s">
        <v>1266</v>
      </c>
      <c r="N473" s="31" t="s">
        <v>1267</v>
      </c>
      <c r="O473" s="32"/>
      <c r="P473" s="32"/>
      <c r="Q473" s="31" t="s">
        <v>33</v>
      </c>
      <c r="R473" s="33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spans="1:31" ht="13.8">
      <c r="A474" s="10"/>
      <c r="B474" s="17"/>
      <c r="C474" s="18" t="s">
        <v>34</v>
      </c>
      <c r="D474" s="19" t="s">
        <v>208</v>
      </c>
      <c r="E474" s="20" t="s">
        <v>124</v>
      </c>
      <c r="F474" s="19">
        <v>87100049</v>
      </c>
      <c r="G474" s="19" t="s">
        <v>1264</v>
      </c>
      <c r="H474" s="22">
        <v>46010</v>
      </c>
      <c r="I474" s="28" t="s">
        <v>1268</v>
      </c>
      <c r="J474" s="29">
        <v>73146000</v>
      </c>
      <c r="K474" s="51">
        <v>73146000</v>
      </c>
      <c r="L474" s="26" t="s">
        <v>30</v>
      </c>
      <c r="M474" s="30" t="s">
        <v>1257</v>
      </c>
      <c r="N474" s="31" t="s">
        <v>1269</v>
      </c>
      <c r="O474" s="32"/>
      <c r="P474" s="32"/>
      <c r="Q474" s="31" t="s">
        <v>33</v>
      </c>
      <c r="R474" s="33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spans="1:31" ht="13.8">
      <c r="A475" s="10"/>
      <c r="B475" s="17"/>
      <c r="C475" s="18" t="s">
        <v>34</v>
      </c>
      <c r="D475" s="19" t="s">
        <v>208</v>
      </c>
      <c r="E475" s="20" t="s">
        <v>124</v>
      </c>
      <c r="F475" s="19">
        <v>87100049</v>
      </c>
      <c r="G475" s="19" t="s">
        <v>1264</v>
      </c>
      <c r="H475" s="22">
        <v>46010</v>
      </c>
      <c r="I475" s="28" t="s">
        <v>1270</v>
      </c>
      <c r="J475" s="29">
        <v>97528000</v>
      </c>
      <c r="K475" s="51">
        <v>97528000</v>
      </c>
      <c r="L475" s="26" t="s">
        <v>30</v>
      </c>
      <c r="M475" s="30" t="s">
        <v>1257</v>
      </c>
      <c r="N475" s="31" t="s">
        <v>1271</v>
      </c>
      <c r="O475" s="32"/>
      <c r="P475" s="32"/>
      <c r="Q475" s="31" t="s">
        <v>33</v>
      </c>
      <c r="R475" s="33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spans="1:31" ht="13.8">
      <c r="A476" s="10"/>
      <c r="B476" s="17"/>
      <c r="C476" s="18" t="s">
        <v>34</v>
      </c>
      <c r="D476" s="19" t="s">
        <v>208</v>
      </c>
      <c r="E476" s="20" t="s">
        <v>124</v>
      </c>
      <c r="F476" s="19">
        <v>87100049</v>
      </c>
      <c r="G476" s="19" t="s">
        <v>1264</v>
      </c>
      <c r="H476" s="22">
        <v>46010</v>
      </c>
      <c r="I476" s="28" t="s">
        <v>1272</v>
      </c>
      <c r="J476" s="29">
        <v>73146000</v>
      </c>
      <c r="K476" s="51">
        <v>73146000</v>
      </c>
      <c r="L476" s="26" t="s">
        <v>30</v>
      </c>
      <c r="M476" s="30" t="s">
        <v>1257</v>
      </c>
      <c r="N476" s="31" t="s">
        <v>1273</v>
      </c>
      <c r="O476" s="32"/>
      <c r="P476" s="32"/>
      <c r="Q476" s="31" t="s">
        <v>33</v>
      </c>
      <c r="R476" s="33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spans="1:31" ht="13.8">
      <c r="A477" s="10"/>
      <c r="B477" s="17"/>
      <c r="C477" s="18" t="s">
        <v>34</v>
      </c>
      <c r="D477" s="19" t="s">
        <v>208</v>
      </c>
      <c r="E477" s="20" t="s">
        <v>124</v>
      </c>
      <c r="F477" s="19">
        <v>87100049</v>
      </c>
      <c r="G477" s="19" t="s">
        <v>1264</v>
      </c>
      <c r="H477" s="22">
        <v>46010</v>
      </c>
      <c r="I477" s="28" t="s">
        <v>1274</v>
      </c>
      <c r="J477" s="29">
        <v>73146000</v>
      </c>
      <c r="K477" s="51">
        <v>73146000</v>
      </c>
      <c r="L477" s="26" t="s">
        <v>30</v>
      </c>
      <c r="M477" s="30" t="s">
        <v>1257</v>
      </c>
      <c r="N477" s="31" t="s">
        <v>1275</v>
      </c>
      <c r="O477" s="32"/>
      <c r="P477" s="32"/>
      <c r="Q477" s="31" t="s">
        <v>33</v>
      </c>
      <c r="R477" s="33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spans="1:31" ht="13.8">
      <c r="A478" s="10"/>
      <c r="B478" s="17"/>
      <c r="C478" s="18" t="s">
        <v>34</v>
      </c>
      <c r="D478" s="19" t="s">
        <v>208</v>
      </c>
      <c r="E478" s="20" t="s">
        <v>124</v>
      </c>
      <c r="F478" s="19">
        <v>87100049</v>
      </c>
      <c r="G478" s="19" t="s">
        <v>1264</v>
      </c>
      <c r="H478" s="22">
        <v>46010</v>
      </c>
      <c r="I478" s="28" t="s">
        <v>1276</v>
      </c>
      <c r="J478" s="29">
        <v>73146000</v>
      </c>
      <c r="K478" s="51">
        <v>73146000</v>
      </c>
      <c r="L478" s="26" t="s">
        <v>30</v>
      </c>
      <c r="M478" s="30" t="s">
        <v>1257</v>
      </c>
      <c r="N478" s="31" t="s">
        <v>1277</v>
      </c>
      <c r="O478" s="32"/>
      <c r="P478" s="32"/>
      <c r="Q478" s="31" t="s">
        <v>33</v>
      </c>
      <c r="R478" s="33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spans="1:31" ht="13.8">
      <c r="A479" s="10"/>
      <c r="B479" s="17"/>
      <c r="C479" s="18" t="s">
        <v>34</v>
      </c>
      <c r="D479" s="19" t="s">
        <v>208</v>
      </c>
      <c r="E479" s="20" t="s">
        <v>124</v>
      </c>
      <c r="F479" s="19">
        <v>87100049</v>
      </c>
      <c r="G479" s="19" t="s">
        <v>1264</v>
      </c>
      <c r="H479" s="22">
        <v>46010</v>
      </c>
      <c r="I479" s="28" t="s">
        <v>1278</v>
      </c>
      <c r="J479" s="29">
        <v>148000000</v>
      </c>
      <c r="K479" s="51">
        <v>148000000</v>
      </c>
      <c r="L479" s="26" t="s">
        <v>231</v>
      </c>
      <c r="M479" s="30" t="s">
        <v>1183</v>
      </c>
      <c r="N479" s="31" t="s">
        <v>1279</v>
      </c>
      <c r="O479" s="32"/>
      <c r="P479" s="32"/>
      <c r="Q479" s="31" t="s">
        <v>33</v>
      </c>
      <c r="R479" s="33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spans="1:31" ht="13.8">
      <c r="A480" s="10"/>
      <c r="B480" s="17"/>
      <c r="C480" s="18" t="s">
        <v>34</v>
      </c>
      <c r="D480" s="19" t="s">
        <v>208</v>
      </c>
      <c r="E480" s="20" t="s">
        <v>124</v>
      </c>
      <c r="F480" s="19">
        <v>87100049</v>
      </c>
      <c r="G480" s="19" t="s">
        <v>1264</v>
      </c>
      <c r="H480" s="22">
        <v>46010</v>
      </c>
      <c r="I480" s="28" t="s">
        <v>1280</v>
      </c>
      <c r="J480" s="29">
        <v>9760000</v>
      </c>
      <c r="K480" s="51">
        <v>9760000</v>
      </c>
      <c r="L480" s="26" t="s">
        <v>231</v>
      </c>
      <c r="M480" s="30" t="s">
        <v>1183</v>
      </c>
      <c r="N480" s="31" t="s">
        <v>1281</v>
      </c>
      <c r="O480" s="32"/>
      <c r="P480" s="32"/>
      <c r="Q480" s="31" t="s">
        <v>33</v>
      </c>
      <c r="R480" s="33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spans="1:31" ht="13.8">
      <c r="A481" s="10"/>
      <c r="B481" s="17"/>
      <c r="C481" s="18" t="s">
        <v>34</v>
      </c>
      <c r="D481" s="19" t="s">
        <v>208</v>
      </c>
      <c r="E481" s="20" t="s">
        <v>124</v>
      </c>
      <c r="F481" s="19">
        <v>87100049</v>
      </c>
      <c r="G481" s="19" t="s">
        <v>1264</v>
      </c>
      <c r="H481" s="22">
        <v>46010</v>
      </c>
      <c r="I481" s="28" t="s">
        <v>1282</v>
      </c>
      <c r="J481" s="29">
        <v>80000000</v>
      </c>
      <c r="K481" s="51">
        <v>80000000</v>
      </c>
      <c r="L481" s="26" t="s">
        <v>231</v>
      </c>
      <c r="M481" s="30" t="s">
        <v>1183</v>
      </c>
      <c r="N481" s="31" t="s">
        <v>1283</v>
      </c>
      <c r="O481" s="32"/>
      <c r="P481" s="32"/>
      <c r="Q481" s="31" t="s">
        <v>33</v>
      </c>
      <c r="R481" s="33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spans="1:31" ht="13.8">
      <c r="A482" s="10"/>
      <c r="B482" s="17"/>
      <c r="C482" s="21"/>
      <c r="D482" s="21"/>
      <c r="E482" s="21"/>
      <c r="F482" s="21"/>
      <c r="G482" s="21"/>
      <c r="H482" s="22"/>
      <c r="I482" s="28" t="s">
        <v>41</v>
      </c>
      <c r="J482" s="29"/>
      <c r="K482" s="24"/>
      <c r="L482" s="24"/>
      <c r="M482" s="35"/>
      <c r="N482" s="31"/>
      <c r="O482" s="31"/>
      <c r="P482" s="31"/>
      <c r="Q482" s="26"/>
      <c r="R482" s="27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spans="1:31" ht="13.8">
      <c r="A483" s="10">
        <v>31</v>
      </c>
      <c r="B483" s="17" t="s">
        <v>1284</v>
      </c>
      <c r="C483" s="18" t="s">
        <v>23</v>
      </c>
      <c r="D483" s="19" t="s">
        <v>1285</v>
      </c>
      <c r="E483" s="20" t="s">
        <v>544</v>
      </c>
      <c r="F483" s="19">
        <v>78051243</v>
      </c>
      <c r="G483" s="19" t="s">
        <v>1145</v>
      </c>
      <c r="H483" s="22">
        <v>45728</v>
      </c>
      <c r="I483" s="28" t="s">
        <v>41</v>
      </c>
      <c r="J483" s="29"/>
      <c r="K483" s="24"/>
      <c r="L483" s="24"/>
      <c r="M483" s="35"/>
      <c r="N483" s="31"/>
      <c r="O483" s="31"/>
      <c r="P483" s="31"/>
      <c r="Q483" s="31"/>
      <c r="R483" s="33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spans="1:31" ht="27.6">
      <c r="A484" s="53"/>
      <c r="B484" s="53"/>
      <c r="C484" s="18" t="s">
        <v>27</v>
      </c>
      <c r="D484" s="19" t="s">
        <v>1285</v>
      </c>
      <c r="E484" s="20" t="s">
        <v>544</v>
      </c>
      <c r="F484" s="19">
        <v>78051243</v>
      </c>
      <c r="G484" s="19" t="s">
        <v>1286</v>
      </c>
      <c r="H484" s="22">
        <v>45989</v>
      </c>
      <c r="I484" s="28" t="s">
        <v>1287</v>
      </c>
      <c r="J484" s="29">
        <v>686400000</v>
      </c>
      <c r="K484" s="75">
        <v>686400000</v>
      </c>
      <c r="L484" s="26" t="s">
        <v>30</v>
      </c>
      <c r="M484" s="30" t="s">
        <v>1288</v>
      </c>
      <c r="N484" s="31" t="s">
        <v>1289</v>
      </c>
      <c r="O484" s="32"/>
      <c r="P484" s="32"/>
      <c r="Q484" s="31" t="s">
        <v>33</v>
      </c>
      <c r="R484" s="33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spans="1:31" ht="13.8">
      <c r="A485" s="53"/>
      <c r="B485" s="53"/>
      <c r="C485" s="18" t="s">
        <v>27</v>
      </c>
      <c r="D485" s="19" t="s">
        <v>1285</v>
      </c>
      <c r="E485" s="20" t="s">
        <v>544</v>
      </c>
      <c r="F485" s="19">
        <v>78051243</v>
      </c>
      <c r="G485" s="19" t="s">
        <v>1286</v>
      </c>
      <c r="H485" s="22">
        <v>45989</v>
      </c>
      <c r="I485" s="28" t="s">
        <v>1290</v>
      </c>
      <c r="J485" s="29">
        <v>210000000</v>
      </c>
      <c r="K485" s="75">
        <v>210000000</v>
      </c>
      <c r="L485" s="26" t="s">
        <v>30</v>
      </c>
      <c r="M485" s="30" t="s">
        <v>1291</v>
      </c>
      <c r="N485" s="31" t="s">
        <v>1292</v>
      </c>
      <c r="O485" s="32"/>
      <c r="P485" s="32"/>
      <c r="Q485" s="31" t="s">
        <v>33</v>
      </c>
      <c r="R485" s="33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spans="1:31" ht="13.8">
      <c r="A486" s="53"/>
      <c r="B486" s="53"/>
      <c r="C486" s="18" t="s">
        <v>27</v>
      </c>
      <c r="D486" s="19" t="s">
        <v>1285</v>
      </c>
      <c r="E486" s="20" t="s">
        <v>544</v>
      </c>
      <c r="F486" s="19">
        <v>78051243</v>
      </c>
      <c r="G486" s="19" t="s">
        <v>1286</v>
      </c>
      <c r="H486" s="22">
        <v>45989</v>
      </c>
      <c r="I486" s="28" t="s">
        <v>1293</v>
      </c>
      <c r="J486" s="29">
        <v>430335000</v>
      </c>
      <c r="K486" s="75">
        <v>430335000</v>
      </c>
      <c r="L486" s="26" t="s">
        <v>30</v>
      </c>
      <c r="M486" s="30" t="s">
        <v>1291</v>
      </c>
      <c r="N486" s="31" t="s">
        <v>1294</v>
      </c>
      <c r="O486" s="32"/>
      <c r="P486" s="32"/>
      <c r="Q486" s="31" t="s">
        <v>33</v>
      </c>
      <c r="R486" s="33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spans="1:31" ht="13.8">
      <c r="A487" s="53"/>
      <c r="B487" s="53"/>
      <c r="C487" s="18" t="s">
        <v>27</v>
      </c>
      <c r="D487" s="19" t="s">
        <v>1285</v>
      </c>
      <c r="E487" s="20" t="s">
        <v>544</v>
      </c>
      <c r="F487" s="19">
        <v>78051243</v>
      </c>
      <c r="G487" s="19" t="s">
        <v>1286</v>
      </c>
      <c r="H487" s="22">
        <v>45989</v>
      </c>
      <c r="I487" s="28" t="s">
        <v>1295</v>
      </c>
      <c r="J487" s="29">
        <v>932390000</v>
      </c>
      <c r="K487" s="75">
        <v>930969000</v>
      </c>
      <c r="L487" s="26" t="s">
        <v>30</v>
      </c>
      <c r="M487" s="30" t="s">
        <v>1291</v>
      </c>
      <c r="N487" s="31" t="s">
        <v>1296</v>
      </c>
      <c r="O487" s="32"/>
      <c r="P487" s="32"/>
      <c r="Q487" s="31" t="s">
        <v>33</v>
      </c>
      <c r="R487" s="33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spans="1:31" ht="13.8">
      <c r="A488" s="53"/>
      <c r="B488" s="53"/>
      <c r="C488" s="18" t="s">
        <v>34</v>
      </c>
      <c r="D488" s="19" t="s">
        <v>1297</v>
      </c>
      <c r="E488" s="20" t="s">
        <v>53</v>
      </c>
      <c r="F488" s="19" t="s">
        <v>54</v>
      </c>
      <c r="G488" s="19" t="s">
        <v>1298</v>
      </c>
      <c r="H488" s="22">
        <v>46003</v>
      </c>
      <c r="I488" s="28" t="s">
        <v>1299</v>
      </c>
      <c r="J488" s="29">
        <v>150560000</v>
      </c>
      <c r="K488" s="75">
        <v>150560000</v>
      </c>
      <c r="L488" s="26" t="s">
        <v>231</v>
      </c>
      <c r="M488" s="30" t="s">
        <v>1300</v>
      </c>
      <c r="N488" s="31" t="s">
        <v>1301</v>
      </c>
      <c r="O488" s="32"/>
      <c r="P488" s="32"/>
      <c r="Q488" s="31" t="s">
        <v>33</v>
      </c>
      <c r="R488" s="33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spans="1:31" ht="13.8">
      <c r="A489" s="53"/>
      <c r="B489" s="53"/>
      <c r="C489" s="18" t="s">
        <v>34</v>
      </c>
      <c r="D489" s="19" t="s">
        <v>1297</v>
      </c>
      <c r="E489" s="20" t="s">
        <v>53</v>
      </c>
      <c r="F489" s="19" t="s">
        <v>54</v>
      </c>
      <c r="G489" s="19" t="s">
        <v>1298</v>
      </c>
      <c r="H489" s="22">
        <v>46003</v>
      </c>
      <c r="I489" s="28" t="s">
        <v>1302</v>
      </c>
      <c r="J489" s="29">
        <v>144000000</v>
      </c>
      <c r="K489" s="75">
        <v>144000000</v>
      </c>
      <c r="L489" s="26" t="s">
        <v>231</v>
      </c>
      <c r="M489" s="30" t="s">
        <v>1303</v>
      </c>
      <c r="N489" s="31" t="s">
        <v>1304</v>
      </c>
      <c r="O489" s="32"/>
      <c r="P489" s="32"/>
      <c r="Q489" s="31" t="s">
        <v>33</v>
      </c>
      <c r="R489" s="33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spans="1:31" ht="13.8">
      <c r="A490" s="10"/>
      <c r="B490" s="17"/>
      <c r="C490" s="18" t="s">
        <v>34</v>
      </c>
      <c r="D490" s="19" t="s">
        <v>1297</v>
      </c>
      <c r="E490" s="20" t="s">
        <v>53</v>
      </c>
      <c r="F490" s="19" t="s">
        <v>54</v>
      </c>
      <c r="G490" s="19" t="s">
        <v>1298</v>
      </c>
      <c r="H490" s="22">
        <v>46003</v>
      </c>
      <c r="I490" s="28" t="s">
        <v>1305</v>
      </c>
      <c r="J490" s="29">
        <v>197820000</v>
      </c>
      <c r="K490" s="75">
        <v>197820000</v>
      </c>
      <c r="L490" s="26" t="s">
        <v>231</v>
      </c>
      <c r="M490" s="30" t="s">
        <v>1306</v>
      </c>
      <c r="N490" s="31" t="s">
        <v>1307</v>
      </c>
      <c r="O490" s="32"/>
      <c r="P490" s="32"/>
      <c r="Q490" s="31" t="s">
        <v>33</v>
      </c>
      <c r="R490" s="33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spans="1:31" ht="13.8">
      <c r="A491" s="10"/>
      <c r="B491" s="17"/>
      <c r="C491" s="21"/>
      <c r="D491" s="21"/>
      <c r="E491" s="21"/>
      <c r="F491" s="21"/>
      <c r="G491" s="21"/>
      <c r="H491" s="22"/>
      <c r="I491" s="28" t="s">
        <v>41</v>
      </c>
      <c r="J491" s="29"/>
      <c r="K491" s="24"/>
      <c r="L491" s="24"/>
      <c r="M491" s="35"/>
      <c r="N491" s="31"/>
      <c r="O491" s="31"/>
      <c r="P491" s="31"/>
      <c r="Q491" s="24"/>
      <c r="R491" s="37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spans="1:31" ht="13.8">
      <c r="A492" s="10">
        <v>32</v>
      </c>
      <c r="B492" s="17" t="s">
        <v>1308</v>
      </c>
      <c r="C492" s="18" t="s">
        <v>23</v>
      </c>
      <c r="D492" s="19" t="s">
        <v>1309</v>
      </c>
      <c r="E492" s="20" t="s">
        <v>544</v>
      </c>
      <c r="F492" s="19">
        <v>84031655</v>
      </c>
      <c r="G492" s="19" t="s">
        <v>1310</v>
      </c>
      <c r="H492" s="22">
        <v>45853</v>
      </c>
      <c r="I492" s="28" t="s">
        <v>41</v>
      </c>
      <c r="J492" s="29"/>
      <c r="K492" s="112"/>
      <c r="L492" s="24"/>
      <c r="M492" s="35"/>
      <c r="N492" s="31"/>
      <c r="O492" s="31"/>
      <c r="P492" s="31"/>
      <c r="Q492" s="31"/>
      <c r="R492" s="33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spans="1:31" ht="13.8">
      <c r="A493" s="10"/>
      <c r="B493" s="17"/>
      <c r="C493" s="18" t="s">
        <v>27</v>
      </c>
      <c r="D493" s="19" t="s">
        <v>1311</v>
      </c>
      <c r="E493" s="20" t="s">
        <v>244</v>
      </c>
      <c r="F493" s="19">
        <v>77020267</v>
      </c>
      <c r="G493" s="19" t="s">
        <v>1312</v>
      </c>
      <c r="H493" s="22">
        <v>46008</v>
      </c>
      <c r="I493" s="28" t="s">
        <v>1313</v>
      </c>
      <c r="J493" s="29">
        <v>970900000</v>
      </c>
      <c r="K493" s="112">
        <v>970900000</v>
      </c>
      <c r="L493" s="26" t="s">
        <v>30</v>
      </c>
      <c r="M493" s="30" t="s">
        <v>261</v>
      </c>
      <c r="N493" s="31" t="s">
        <v>1314</v>
      </c>
      <c r="O493" s="32"/>
      <c r="P493" s="32"/>
      <c r="Q493" s="31" t="s">
        <v>33</v>
      </c>
      <c r="R493" s="33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spans="1:31" ht="13.8">
      <c r="A494" s="10"/>
      <c r="B494" s="17"/>
      <c r="C494" s="18" t="s">
        <v>27</v>
      </c>
      <c r="D494" s="19" t="s">
        <v>1311</v>
      </c>
      <c r="E494" s="20" t="s">
        <v>244</v>
      </c>
      <c r="F494" s="19">
        <v>77020267</v>
      </c>
      <c r="G494" s="19" t="s">
        <v>1312</v>
      </c>
      <c r="H494" s="22">
        <v>46008</v>
      </c>
      <c r="I494" s="28" t="s">
        <v>1259</v>
      </c>
      <c r="J494" s="29">
        <v>425000000</v>
      </c>
      <c r="K494" s="112">
        <v>425000000</v>
      </c>
      <c r="L494" s="26" t="s">
        <v>30</v>
      </c>
      <c r="M494" s="30" t="s">
        <v>261</v>
      </c>
      <c r="N494" s="31" t="s">
        <v>1315</v>
      </c>
      <c r="O494" s="32"/>
      <c r="P494" s="32"/>
      <c r="Q494" s="31" t="s">
        <v>33</v>
      </c>
      <c r="R494" s="33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spans="1:31" ht="13.8">
      <c r="A495" s="10"/>
      <c r="B495" s="17"/>
      <c r="C495" s="18" t="s">
        <v>27</v>
      </c>
      <c r="D495" s="19" t="s">
        <v>1311</v>
      </c>
      <c r="E495" s="20" t="s">
        <v>244</v>
      </c>
      <c r="F495" s="19">
        <v>77020267</v>
      </c>
      <c r="G495" s="19" t="s">
        <v>1312</v>
      </c>
      <c r="H495" s="22">
        <v>46008</v>
      </c>
      <c r="I495" s="28" t="s">
        <v>1316</v>
      </c>
      <c r="J495" s="29">
        <v>165074000</v>
      </c>
      <c r="K495" s="112">
        <v>873700500</v>
      </c>
      <c r="L495" s="26" t="s">
        <v>30</v>
      </c>
      <c r="M495" s="30" t="s">
        <v>261</v>
      </c>
      <c r="N495" s="31" t="s">
        <v>1317</v>
      </c>
      <c r="O495" s="32"/>
      <c r="P495" s="32"/>
      <c r="Q495" s="31" t="s">
        <v>33</v>
      </c>
      <c r="R495" s="33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spans="1:31" ht="13.8">
      <c r="A496" s="10"/>
      <c r="B496" s="17"/>
      <c r="C496" s="18" t="s">
        <v>27</v>
      </c>
      <c r="D496" s="19" t="s">
        <v>1311</v>
      </c>
      <c r="E496" s="20" t="s">
        <v>244</v>
      </c>
      <c r="F496" s="19">
        <v>77020267</v>
      </c>
      <c r="G496" s="19" t="s">
        <v>1312</v>
      </c>
      <c r="H496" s="22">
        <v>46008</v>
      </c>
      <c r="I496" s="28" t="s">
        <v>1316</v>
      </c>
      <c r="J496" s="29">
        <v>165074000</v>
      </c>
      <c r="K496" s="112">
        <v>29215250</v>
      </c>
      <c r="L496" s="26" t="s">
        <v>30</v>
      </c>
      <c r="M496" s="30" t="s">
        <v>1318</v>
      </c>
      <c r="N496" s="31" t="s">
        <v>1319</v>
      </c>
      <c r="O496" s="32"/>
      <c r="P496" s="32"/>
      <c r="Q496" s="31" t="s">
        <v>33</v>
      </c>
      <c r="R496" s="33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spans="1:31" ht="13.8">
      <c r="A497" s="10"/>
      <c r="B497" s="17"/>
      <c r="C497" s="18" t="s">
        <v>27</v>
      </c>
      <c r="D497" s="19" t="s">
        <v>1311</v>
      </c>
      <c r="E497" s="20" t="s">
        <v>244</v>
      </c>
      <c r="F497" s="19">
        <v>77020267</v>
      </c>
      <c r="G497" s="19" t="s">
        <v>1312</v>
      </c>
      <c r="H497" s="22">
        <v>46008</v>
      </c>
      <c r="I497" s="28" t="s">
        <v>1320</v>
      </c>
      <c r="J497" s="29">
        <v>320000000</v>
      </c>
      <c r="K497" s="112">
        <v>320000000</v>
      </c>
      <c r="L497" s="26" t="s">
        <v>30</v>
      </c>
      <c r="M497" s="30" t="s">
        <v>1321</v>
      </c>
      <c r="N497" s="31" t="s">
        <v>1322</v>
      </c>
      <c r="O497" s="32"/>
      <c r="P497" s="32"/>
      <c r="Q497" s="31" t="s">
        <v>33</v>
      </c>
      <c r="R497" s="33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spans="1:31" ht="13.8">
      <c r="A498" s="10"/>
      <c r="B498" s="17"/>
      <c r="C498" s="18" t="s">
        <v>34</v>
      </c>
      <c r="D498" s="19" t="s">
        <v>1323</v>
      </c>
      <c r="E498" s="20" t="s">
        <v>164</v>
      </c>
      <c r="F498" s="19">
        <v>75050170</v>
      </c>
      <c r="G498" s="19" t="s">
        <v>1324</v>
      </c>
      <c r="H498" s="22">
        <v>46008</v>
      </c>
      <c r="I498" s="28" t="s">
        <v>1325</v>
      </c>
      <c r="J498" s="29">
        <v>145635000</v>
      </c>
      <c r="K498" s="112">
        <v>145635000</v>
      </c>
      <c r="L498" s="26" t="s">
        <v>30</v>
      </c>
      <c r="M498" s="30" t="s">
        <v>261</v>
      </c>
      <c r="N498" s="31" t="s">
        <v>1326</v>
      </c>
      <c r="O498" s="32"/>
      <c r="P498" s="32"/>
      <c r="Q498" s="31" t="s">
        <v>33</v>
      </c>
      <c r="R498" s="33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spans="1:31" ht="13.8">
      <c r="A499" s="10"/>
      <c r="B499" s="17"/>
      <c r="C499" s="18" t="s">
        <v>34</v>
      </c>
      <c r="D499" s="19" t="s">
        <v>1323</v>
      </c>
      <c r="E499" s="20" t="s">
        <v>164</v>
      </c>
      <c r="F499" s="19">
        <v>75050170</v>
      </c>
      <c r="G499" s="19" t="s">
        <v>1324</v>
      </c>
      <c r="H499" s="22">
        <v>46008</v>
      </c>
      <c r="I499" s="28" t="s">
        <v>1327</v>
      </c>
      <c r="J499" s="29">
        <v>100000000</v>
      </c>
      <c r="K499" s="112">
        <v>100000000</v>
      </c>
      <c r="L499" s="26" t="s">
        <v>30</v>
      </c>
      <c r="M499" s="30" t="s">
        <v>1321</v>
      </c>
      <c r="N499" s="31" t="s">
        <v>1328</v>
      </c>
      <c r="O499" s="32"/>
      <c r="P499" s="32"/>
      <c r="Q499" s="31" t="s">
        <v>33</v>
      </c>
      <c r="R499" s="33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spans="1:31" ht="13.8">
      <c r="A500" s="10"/>
      <c r="B500" s="17"/>
      <c r="C500" s="18" t="s">
        <v>34</v>
      </c>
      <c r="D500" s="19" t="s">
        <v>1323</v>
      </c>
      <c r="E500" s="20" t="s">
        <v>164</v>
      </c>
      <c r="F500" s="19">
        <v>75050170</v>
      </c>
      <c r="G500" s="19" t="s">
        <v>1324</v>
      </c>
      <c r="H500" s="22">
        <v>46008</v>
      </c>
      <c r="I500" s="28" t="s">
        <v>1329</v>
      </c>
      <c r="J500" s="29">
        <v>20000000</v>
      </c>
      <c r="K500" s="112">
        <v>19999993</v>
      </c>
      <c r="L500" s="26" t="s">
        <v>30</v>
      </c>
      <c r="M500" s="30" t="s">
        <v>1321</v>
      </c>
      <c r="N500" s="31" t="s">
        <v>1330</v>
      </c>
      <c r="O500" s="32"/>
      <c r="P500" s="32"/>
      <c r="Q500" s="31" t="s">
        <v>33</v>
      </c>
      <c r="R500" s="33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spans="1:31" ht="13.8">
      <c r="A501" s="10"/>
      <c r="B501" s="17"/>
      <c r="C501" s="18" t="s">
        <v>34</v>
      </c>
      <c r="D501" s="19" t="s">
        <v>1323</v>
      </c>
      <c r="E501" s="20" t="s">
        <v>164</v>
      </c>
      <c r="F501" s="19">
        <v>75050170</v>
      </c>
      <c r="G501" s="19" t="s">
        <v>1324</v>
      </c>
      <c r="H501" s="22">
        <v>46008</v>
      </c>
      <c r="I501" s="28" t="s">
        <v>1331</v>
      </c>
      <c r="J501" s="29">
        <v>44000000</v>
      </c>
      <c r="K501" s="112">
        <v>44000000</v>
      </c>
      <c r="L501" s="26" t="s">
        <v>30</v>
      </c>
      <c r="M501" s="30" t="s">
        <v>1321</v>
      </c>
      <c r="N501" s="31" t="s">
        <v>1332</v>
      </c>
      <c r="O501" s="32"/>
      <c r="P501" s="32"/>
      <c r="Q501" s="31" t="s">
        <v>33</v>
      </c>
      <c r="R501" s="33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spans="1:31" ht="13.8">
      <c r="A502" s="10"/>
      <c r="B502" s="17"/>
      <c r="C502" s="18" t="s">
        <v>34</v>
      </c>
      <c r="D502" s="19" t="s">
        <v>1323</v>
      </c>
      <c r="E502" s="20" t="s">
        <v>164</v>
      </c>
      <c r="F502" s="19">
        <v>75050170</v>
      </c>
      <c r="G502" s="19" t="s">
        <v>1324</v>
      </c>
      <c r="H502" s="22">
        <v>46008</v>
      </c>
      <c r="I502" s="28" t="s">
        <v>1333</v>
      </c>
      <c r="J502" s="29">
        <v>184800000</v>
      </c>
      <c r="K502" s="112">
        <v>184800000</v>
      </c>
      <c r="L502" s="26" t="s">
        <v>30</v>
      </c>
      <c r="M502" s="30" t="s">
        <v>1334</v>
      </c>
      <c r="N502" s="31" t="s">
        <v>1335</v>
      </c>
      <c r="O502" s="32"/>
      <c r="P502" s="32"/>
      <c r="Q502" s="31" t="s">
        <v>33</v>
      </c>
      <c r="R502" s="33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spans="1:31" ht="13.8">
      <c r="A503" s="10"/>
      <c r="B503" s="17"/>
      <c r="C503" s="18" t="s">
        <v>34</v>
      </c>
      <c r="D503" s="19" t="s">
        <v>1323</v>
      </c>
      <c r="E503" s="20" t="s">
        <v>164</v>
      </c>
      <c r="F503" s="19">
        <v>75050170</v>
      </c>
      <c r="G503" s="19" t="s">
        <v>1324</v>
      </c>
      <c r="H503" s="22">
        <v>46008</v>
      </c>
      <c r="I503" s="28" t="s">
        <v>1336</v>
      </c>
      <c r="J503" s="29">
        <v>170253000</v>
      </c>
      <c r="K503" s="112">
        <v>169535000</v>
      </c>
      <c r="L503" s="26" t="s">
        <v>231</v>
      </c>
      <c r="M503" s="30" t="s">
        <v>1337</v>
      </c>
      <c r="N503" s="31" t="s">
        <v>1338</v>
      </c>
      <c r="O503" s="32"/>
      <c r="P503" s="32"/>
      <c r="Q503" s="31" t="s">
        <v>33</v>
      </c>
      <c r="R503" s="33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spans="1:31" ht="13.8">
      <c r="A504" s="10"/>
      <c r="B504" s="17"/>
      <c r="C504" s="18" t="s">
        <v>34</v>
      </c>
      <c r="D504" s="19" t="s">
        <v>1323</v>
      </c>
      <c r="E504" s="20" t="s">
        <v>164</v>
      </c>
      <c r="F504" s="19">
        <v>75050170</v>
      </c>
      <c r="G504" s="19" t="s">
        <v>1324</v>
      </c>
      <c r="H504" s="22">
        <v>46008</v>
      </c>
      <c r="I504" s="28" t="s">
        <v>1339</v>
      </c>
      <c r="J504" s="29">
        <v>142914000</v>
      </c>
      <c r="K504" s="112">
        <v>142914000</v>
      </c>
      <c r="L504" s="26" t="s">
        <v>231</v>
      </c>
      <c r="M504" s="30" t="s">
        <v>1340</v>
      </c>
      <c r="N504" s="31" t="s">
        <v>1341</v>
      </c>
      <c r="O504" s="32"/>
      <c r="P504" s="32"/>
      <c r="Q504" s="31" t="s">
        <v>33</v>
      </c>
      <c r="R504" s="33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spans="1:31" ht="13.8">
      <c r="A505" s="10"/>
      <c r="B505" s="17"/>
      <c r="C505" s="18" t="s">
        <v>34</v>
      </c>
      <c r="D505" s="19" t="s">
        <v>1323</v>
      </c>
      <c r="E505" s="20" t="s">
        <v>164</v>
      </c>
      <c r="F505" s="19">
        <v>75050170</v>
      </c>
      <c r="G505" s="19" t="s">
        <v>1324</v>
      </c>
      <c r="H505" s="22">
        <v>46008</v>
      </c>
      <c r="I505" s="28" t="s">
        <v>1342</v>
      </c>
      <c r="J505" s="29">
        <v>12800000</v>
      </c>
      <c r="K505" s="112">
        <v>12800000</v>
      </c>
      <c r="L505" s="26" t="s">
        <v>30</v>
      </c>
      <c r="M505" s="30" t="s">
        <v>1321</v>
      </c>
      <c r="N505" s="31" t="s">
        <v>1343</v>
      </c>
      <c r="O505" s="32"/>
      <c r="P505" s="32"/>
      <c r="Q505" s="31" t="s">
        <v>33</v>
      </c>
      <c r="R505" s="33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spans="1:31" ht="13.8">
      <c r="A506" s="10"/>
      <c r="B506" s="17"/>
      <c r="C506" s="18" t="s">
        <v>34</v>
      </c>
      <c r="D506" s="19" t="s">
        <v>1323</v>
      </c>
      <c r="E506" s="20" t="s">
        <v>164</v>
      </c>
      <c r="F506" s="19">
        <v>75050170</v>
      </c>
      <c r="G506" s="19" t="s">
        <v>1324</v>
      </c>
      <c r="H506" s="22">
        <v>46008</v>
      </c>
      <c r="I506" s="28" t="s">
        <v>1344</v>
      </c>
      <c r="J506" s="29">
        <v>24800000</v>
      </c>
      <c r="K506" s="112">
        <v>24800000</v>
      </c>
      <c r="L506" s="26" t="s">
        <v>30</v>
      </c>
      <c r="M506" s="30" t="s">
        <v>1334</v>
      </c>
      <c r="N506" s="31" t="s">
        <v>1345</v>
      </c>
      <c r="O506" s="32"/>
      <c r="P506" s="32"/>
      <c r="Q506" s="31" t="s">
        <v>33</v>
      </c>
      <c r="R506" s="33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spans="1:31" ht="13.8">
      <c r="A507" s="10"/>
      <c r="B507" s="17"/>
      <c r="C507" s="18" t="s">
        <v>34</v>
      </c>
      <c r="D507" s="19" t="s">
        <v>1323</v>
      </c>
      <c r="E507" s="20" t="s">
        <v>164</v>
      </c>
      <c r="F507" s="19">
        <v>75050170</v>
      </c>
      <c r="G507" s="19" t="s">
        <v>1324</v>
      </c>
      <c r="H507" s="22">
        <v>46008</v>
      </c>
      <c r="I507" s="28" t="s">
        <v>1346</v>
      </c>
      <c r="J507" s="29">
        <v>17760000</v>
      </c>
      <c r="K507" s="112">
        <v>17760000</v>
      </c>
      <c r="L507" s="26" t="s">
        <v>30</v>
      </c>
      <c r="M507" s="30" t="s">
        <v>1347</v>
      </c>
      <c r="N507" s="31" t="s">
        <v>1348</v>
      </c>
      <c r="O507" s="32"/>
      <c r="P507" s="32"/>
      <c r="Q507" s="31" t="s">
        <v>33</v>
      </c>
      <c r="R507" s="33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spans="1:31" ht="13.8">
      <c r="A508" s="10"/>
      <c r="B508" s="17"/>
      <c r="C508" s="18" t="s">
        <v>34</v>
      </c>
      <c r="D508" s="19" t="s">
        <v>1323</v>
      </c>
      <c r="E508" s="20" t="s">
        <v>164</v>
      </c>
      <c r="F508" s="19">
        <v>75050170</v>
      </c>
      <c r="G508" s="19" t="s">
        <v>1324</v>
      </c>
      <c r="H508" s="22">
        <v>46008</v>
      </c>
      <c r="I508" s="28" t="s">
        <v>1349</v>
      </c>
      <c r="J508" s="29">
        <v>127500000</v>
      </c>
      <c r="K508" s="112">
        <v>110000000</v>
      </c>
      <c r="L508" s="26" t="s">
        <v>30</v>
      </c>
      <c r="M508" s="30" t="s">
        <v>1347</v>
      </c>
      <c r="N508" s="31" t="s">
        <v>1350</v>
      </c>
      <c r="O508" s="32"/>
      <c r="P508" s="32"/>
      <c r="Q508" s="31" t="s">
        <v>33</v>
      </c>
      <c r="R508" s="33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spans="1:31" ht="13.8">
      <c r="A509" s="10"/>
      <c r="B509" s="17"/>
      <c r="C509" s="21"/>
      <c r="D509" s="21"/>
      <c r="E509" s="21"/>
      <c r="F509" s="21"/>
      <c r="G509" s="21"/>
      <c r="H509" s="22"/>
      <c r="I509" s="28" t="s">
        <v>41</v>
      </c>
      <c r="J509" s="29"/>
      <c r="K509" s="24"/>
      <c r="L509" s="24"/>
      <c r="M509" s="35"/>
      <c r="N509" s="31"/>
      <c r="O509" s="31"/>
      <c r="P509" s="31"/>
      <c r="Q509" s="24"/>
      <c r="R509" s="37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spans="1:31" ht="13.8">
      <c r="A510" s="10">
        <v>33</v>
      </c>
      <c r="B510" s="17" t="s">
        <v>1351</v>
      </c>
      <c r="C510" s="18" t="s">
        <v>23</v>
      </c>
      <c r="D510" s="19" t="s">
        <v>1352</v>
      </c>
      <c r="E510" s="20" t="s">
        <v>544</v>
      </c>
      <c r="F510" s="19">
        <v>77081246</v>
      </c>
      <c r="G510" s="30" t="s">
        <v>1145</v>
      </c>
      <c r="H510" s="22">
        <v>45728</v>
      </c>
      <c r="I510" s="28" t="s">
        <v>41</v>
      </c>
      <c r="J510" s="29"/>
      <c r="K510" s="26"/>
      <c r="L510" s="26"/>
      <c r="M510" s="30"/>
      <c r="N510" s="31"/>
      <c r="O510" s="31"/>
      <c r="P510" s="31"/>
      <c r="Q510" s="31"/>
      <c r="R510" s="33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spans="1:31" ht="13.8">
      <c r="A511" s="53"/>
      <c r="B511" s="53"/>
      <c r="C511" s="18" t="s">
        <v>27</v>
      </c>
      <c r="D511" s="19" t="s">
        <v>1352</v>
      </c>
      <c r="E511" s="20" t="s">
        <v>544</v>
      </c>
      <c r="F511" s="19">
        <v>77081246</v>
      </c>
      <c r="G511" s="19" t="s">
        <v>1353</v>
      </c>
      <c r="H511" s="22">
        <v>46003</v>
      </c>
      <c r="I511" s="28" t="s">
        <v>1354</v>
      </c>
      <c r="J511" s="29">
        <v>733650000</v>
      </c>
      <c r="K511" s="112">
        <v>733650000</v>
      </c>
      <c r="L511" s="26" t="s">
        <v>30</v>
      </c>
      <c r="M511" s="30" t="s">
        <v>1355</v>
      </c>
      <c r="N511" s="31" t="s">
        <v>1356</v>
      </c>
      <c r="O511" s="36">
        <v>46021</v>
      </c>
      <c r="P511" s="32"/>
      <c r="Q511" s="31" t="s">
        <v>33</v>
      </c>
      <c r="R511" s="33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spans="1:31" ht="13.8">
      <c r="A512" s="10"/>
      <c r="B512" s="17"/>
      <c r="C512" s="18" t="s">
        <v>27</v>
      </c>
      <c r="D512" s="19" t="s">
        <v>1352</v>
      </c>
      <c r="E512" s="20" t="s">
        <v>544</v>
      </c>
      <c r="F512" s="19">
        <v>77081246</v>
      </c>
      <c r="G512" s="19" t="s">
        <v>1353</v>
      </c>
      <c r="H512" s="22">
        <v>46003</v>
      </c>
      <c r="I512" s="68" t="s">
        <v>1357</v>
      </c>
      <c r="J512" s="29">
        <v>575000000</v>
      </c>
      <c r="K512" s="112">
        <v>575000000</v>
      </c>
      <c r="L512" s="26" t="s">
        <v>30</v>
      </c>
      <c r="M512" s="30" t="s">
        <v>1358</v>
      </c>
      <c r="N512" s="31" t="s">
        <v>1359</v>
      </c>
      <c r="O512" s="36">
        <v>46021</v>
      </c>
      <c r="P512" s="32"/>
      <c r="Q512" s="31" t="s">
        <v>33</v>
      </c>
      <c r="R512" s="33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spans="1:31" ht="13.8">
      <c r="A513" s="10"/>
      <c r="B513" s="17"/>
      <c r="C513" s="18" t="s">
        <v>27</v>
      </c>
      <c r="D513" s="19" t="s">
        <v>1352</v>
      </c>
      <c r="E513" s="20" t="s">
        <v>544</v>
      </c>
      <c r="F513" s="19">
        <v>77081246</v>
      </c>
      <c r="G513" s="19" t="s">
        <v>1353</v>
      </c>
      <c r="H513" s="22">
        <v>46003</v>
      </c>
      <c r="I513" s="28" t="s">
        <v>1360</v>
      </c>
      <c r="J513" s="29">
        <v>553600000</v>
      </c>
      <c r="K513" s="112">
        <v>527200000</v>
      </c>
      <c r="L513" s="26" t="s">
        <v>30</v>
      </c>
      <c r="M513" s="30" t="s">
        <v>1361</v>
      </c>
      <c r="N513" s="31" t="s">
        <v>1362</v>
      </c>
      <c r="O513" s="102">
        <v>46049</v>
      </c>
      <c r="P513" s="32"/>
      <c r="Q513" s="31" t="s">
        <v>33</v>
      </c>
      <c r="R513" s="33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spans="1:31" ht="27.6">
      <c r="A514" s="10"/>
      <c r="B514" s="17"/>
      <c r="C514" s="18" t="s">
        <v>34</v>
      </c>
      <c r="D514" s="19" t="s">
        <v>1363</v>
      </c>
      <c r="E514" s="20" t="s">
        <v>164</v>
      </c>
      <c r="F514" s="19">
        <v>79040654</v>
      </c>
      <c r="G514" s="19" t="s">
        <v>1364</v>
      </c>
      <c r="H514" s="22">
        <v>46008</v>
      </c>
      <c r="I514" s="28" t="s">
        <v>1365</v>
      </c>
      <c r="J514" s="29">
        <v>97820000</v>
      </c>
      <c r="K514" s="112">
        <v>97820000</v>
      </c>
      <c r="L514" s="26" t="s">
        <v>30</v>
      </c>
      <c r="M514" s="30" t="s">
        <v>1355</v>
      </c>
      <c r="N514" s="31" t="s">
        <v>1366</v>
      </c>
      <c r="O514" s="36">
        <v>46021</v>
      </c>
      <c r="P514" s="32"/>
      <c r="Q514" s="31" t="s">
        <v>33</v>
      </c>
      <c r="R514" s="33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spans="1:31" ht="27.6">
      <c r="A515" s="10"/>
      <c r="B515" s="17"/>
      <c r="C515" s="18" t="s">
        <v>34</v>
      </c>
      <c r="D515" s="19" t="s">
        <v>1363</v>
      </c>
      <c r="E515" s="20" t="s">
        <v>164</v>
      </c>
      <c r="F515" s="19">
        <v>79040654</v>
      </c>
      <c r="G515" s="19" t="s">
        <v>1367</v>
      </c>
      <c r="H515" s="22">
        <v>46008</v>
      </c>
      <c r="I515" s="28" t="s">
        <v>1368</v>
      </c>
      <c r="J515" s="29">
        <v>97820000</v>
      </c>
      <c r="K515" s="112">
        <v>97820000</v>
      </c>
      <c r="L515" s="26" t="s">
        <v>30</v>
      </c>
      <c r="M515" s="30" t="s">
        <v>1355</v>
      </c>
      <c r="N515" s="31" t="s">
        <v>1369</v>
      </c>
      <c r="O515" s="36">
        <v>46021</v>
      </c>
      <c r="P515" s="32"/>
      <c r="Q515" s="31" t="s">
        <v>33</v>
      </c>
      <c r="R515" s="33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spans="1:31" ht="13.8">
      <c r="A516" s="10"/>
      <c r="B516" s="17"/>
      <c r="C516" s="18" t="s">
        <v>34</v>
      </c>
      <c r="D516" s="19" t="s">
        <v>1363</v>
      </c>
      <c r="E516" s="20" t="s">
        <v>164</v>
      </c>
      <c r="F516" s="19">
        <v>79040654</v>
      </c>
      <c r="G516" s="19" t="s">
        <v>1370</v>
      </c>
      <c r="H516" s="22">
        <v>46045</v>
      </c>
      <c r="I516" s="28" t="s">
        <v>1371</v>
      </c>
      <c r="J516" s="29">
        <v>75000000</v>
      </c>
      <c r="K516" s="112">
        <v>75000000</v>
      </c>
      <c r="L516" s="26" t="s">
        <v>30</v>
      </c>
      <c r="M516" s="30" t="s">
        <v>1361</v>
      </c>
      <c r="N516" s="31" t="s">
        <v>1372</v>
      </c>
      <c r="O516" s="36">
        <v>46048</v>
      </c>
      <c r="P516" s="32"/>
      <c r="Q516" s="31" t="s">
        <v>33</v>
      </c>
      <c r="R516" s="33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spans="1:31" ht="13.8">
      <c r="A517" s="10"/>
      <c r="B517" s="17"/>
      <c r="C517" s="18" t="s">
        <v>34</v>
      </c>
      <c r="D517" s="19" t="s">
        <v>1363</v>
      </c>
      <c r="E517" s="20" t="s">
        <v>164</v>
      </c>
      <c r="F517" s="19">
        <v>79040654</v>
      </c>
      <c r="G517" s="19" t="s">
        <v>1373</v>
      </c>
      <c r="H517" s="22">
        <v>46049</v>
      </c>
      <c r="I517" s="28" t="s">
        <v>1374</v>
      </c>
      <c r="J517" s="29">
        <v>8216000</v>
      </c>
      <c r="K517" s="112">
        <v>8216000</v>
      </c>
      <c r="L517" s="26" t="s">
        <v>231</v>
      </c>
      <c r="M517" s="30" t="s">
        <v>1375</v>
      </c>
      <c r="N517" s="31" t="s">
        <v>1376</v>
      </c>
      <c r="O517" s="102">
        <v>46055</v>
      </c>
      <c r="P517" s="32"/>
      <c r="Q517" s="31" t="s">
        <v>33</v>
      </c>
      <c r="R517" s="33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spans="1:31" ht="13.8">
      <c r="A518" s="10"/>
      <c r="B518" s="17"/>
      <c r="C518" s="18" t="s">
        <v>34</v>
      </c>
      <c r="D518" s="19" t="s">
        <v>1363</v>
      </c>
      <c r="E518" s="20" t="s">
        <v>164</v>
      </c>
      <c r="F518" s="19">
        <v>79040654</v>
      </c>
      <c r="G518" s="19" t="s">
        <v>1377</v>
      </c>
      <c r="H518" s="22">
        <v>46097</v>
      </c>
      <c r="I518" s="28" t="s">
        <v>1378</v>
      </c>
      <c r="J518" s="29">
        <v>159248000</v>
      </c>
      <c r="K518" s="112">
        <v>159248000</v>
      </c>
      <c r="L518" s="26" t="s">
        <v>231</v>
      </c>
      <c r="M518" s="30" t="s">
        <v>1379</v>
      </c>
      <c r="N518" s="31" t="s">
        <v>1380</v>
      </c>
      <c r="O518" s="102">
        <v>46111</v>
      </c>
      <c r="P518" s="32"/>
      <c r="Q518" s="31" t="s">
        <v>33</v>
      </c>
      <c r="R518" s="33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spans="1:31" ht="13.8">
      <c r="A519" s="10"/>
      <c r="B519" s="17"/>
      <c r="C519" s="18" t="s">
        <v>34</v>
      </c>
      <c r="D519" s="19" t="s">
        <v>1363</v>
      </c>
      <c r="E519" s="20" t="s">
        <v>164</v>
      </c>
      <c r="F519" s="19">
        <v>79040654</v>
      </c>
      <c r="G519" s="19" t="s">
        <v>1381</v>
      </c>
      <c r="H519" s="22">
        <v>46048</v>
      </c>
      <c r="I519" s="28" t="s">
        <v>1382</v>
      </c>
      <c r="J519" s="29">
        <v>172500000</v>
      </c>
      <c r="K519" s="112">
        <v>172500000</v>
      </c>
      <c r="L519" s="26" t="s">
        <v>231</v>
      </c>
      <c r="M519" s="30" t="s">
        <v>1383</v>
      </c>
      <c r="N519" s="31" t="s">
        <v>1384</v>
      </c>
      <c r="O519" s="102">
        <v>46055</v>
      </c>
      <c r="P519" s="32"/>
      <c r="Q519" s="31" t="s">
        <v>33</v>
      </c>
      <c r="R519" s="33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spans="1:31" ht="13.8">
      <c r="A520" s="10"/>
      <c r="B520" s="17"/>
      <c r="C520" s="18" t="s">
        <v>34</v>
      </c>
      <c r="D520" s="19" t="s">
        <v>1363</v>
      </c>
      <c r="E520" s="20" t="s">
        <v>164</v>
      </c>
      <c r="F520" s="19">
        <v>79040654</v>
      </c>
      <c r="G520" s="19" t="s">
        <v>1385</v>
      </c>
      <c r="H520" s="22">
        <v>46045</v>
      </c>
      <c r="I520" s="28" t="s">
        <v>1386</v>
      </c>
      <c r="J520" s="29">
        <v>150480000</v>
      </c>
      <c r="K520" s="112">
        <v>150480000</v>
      </c>
      <c r="L520" s="26" t="s">
        <v>30</v>
      </c>
      <c r="M520" s="30" t="s">
        <v>1387</v>
      </c>
      <c r="N520" s="31" t="s">
        <v>1388</v>
      </c>
      <c r="O520" s="102">
        <v>46048</v>
      </c>
      <c r="P520" s="32"/>
      <c r="Q520" s="31" t="s">
        <v>33</v>
      </c>
      <c r="R520" s="33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spans="1:31" ht="13.8">
      <c r="A521" s="10"/>
      <c r="B521" s="17"/>
      <c r="C521" s="21"/>
      <c r="D521" s="21"/>
      <c r="E521" s="21"/>
      <c r="F521" s="21"/>
      <c r="G521" s="21"/>
      <c r="H521" s="22"/>
      <c r="I521" s="28" t="s">
        <v>41</v>
      </c>
      <c r="J521" s="29"/>
      <c r="K521" s="24"/>
      <c r="L521" s="24"/>
      <c r="M521" s="35"/>
      <c r="N521" s="31"/>
      <c r="O521" s="31"/>
      <c r="P521" s="31"/>
      <c r="Q521" s="24"/>
      <c r="R521" s="37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spans="1:31" ht="13.8">
      <c r="A522" s="10">
        <v>34</v>
      </c>
      <c r="B522" s="17" t="s">
        <v>1389</v>
      </c>
      <c r="C522" s="18" t="s">
        <v>23</v>
      </c>
      <c r="D522" s="19" t="s">
        <v>1390</v>
      </c>
      <c r="E522" s="20" t="s">
        <v>544</v>
      </c>
      <c r="F522" s="19">
        <v>82051489</v>
      </c>
      <c r="G522" s="30" t="s">
        <v>1391</v>
      </c>
      <c r="H522" s="22">
        <v>45289</v>
      </c>
      <c r="I522" s="49" t="s">
        <v>41</v>
      </c>
      <c r="J522" s="29"/>
      <c r="K522" s="24"/>
      <c r="L522" s="24"/>
      <c r="M522" s="35"/>
      <c r="N522" s="31"/>
      <c r="O522" s="31"/>
      <c r="P522" s="31"/>
      <c r="Q522" s="31"/>
      <c r="R522" s="33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spans="1:31" ht="13.8">
      <c r="A523" s="10"/>
      <c r="B523" s="17"/>
      <c r="C523" s="18" t="s">
        <v>27</v>
      </c>
      <c r="D523" s="19" t="s">
        <v>1390</v>
      </c>
      <c r="E523" s="20" t="s">
        <v>544</v>
      </c>
      <c r="F523" s="19">
        <v>82051489</v>
      </c>
      <c r="G523" s="19" t="s">
        <v>1392</v>
      </c>
      <c r="H523" s="22">
        <v>45645</v>
      </c>
      <c r="I523" s="28" t="s">
        <v>1256</v>
      </c>
      <c r="J523" s="29">
        <v>438876000</v>
      </c>
      <c r="K523" s="29">
        <v>436905000</v>
      </c>
      <c r="L523" s="26" t="s">
        <v>30</v>
      </c>
      <c r="M523" s="30" t="s">
        <v>270</v>
      </c>
      <c r="N523" s="31" t="s">
        <v>1393</v>
      </c>
      <c r="O523" s="32"/>
      <c r="P523" s="32"/>
      <c r="Q523" s="31" t="s">
        <v>33</v>
      </c>
      <c r="R523" s="33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spans="1:31" ht="13.8">
      <c r="A524" s="10"/>
      <c r="B524" s="17"/>
      <c r="C524" s="18" t="s">
        <v>27</v>
      </c>
      <c r="D524" s="19" t="s">
        <v>1390</v>
      </c>
      <c r="E524" s="20" t="s">
        <v>544</v>
      </c>
      <c r="F524" s="19">
        <v>82051489</v>
      </c>
      <c r="G524" s="19" t="s">
        <v>1392</v>
      </c>
      <c r="H524" s="22">
        <v>45645</v>
      </c>
      <c r="I524" s="28" t="s">
        <v>1394</v>
      </c>
      <c r="J524" s="29">
        <v>1241615000</v>
      </c>
      <c r="K524" s="29">
        <v>889433000</v>
      </c>
      <c r="L524" s="26" t="s">
        <v>30</v>
      </c>
      <c r="M524" s="30" t="s">
        <v>270</v>
      </c>
      <c r="N524" s="31" t="s">
        <v>1395</v>
      </c>
      <c r="O524" s="32"/>
      <c r="P524" s="32"/>
      <c r="Q524" s="31" t="s">
        <v>33</v>
      </c>
      <c r="R524" s="33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spans="1:31" ht="13.8">
      <c r="A525" s="10"/>
      <c r="B525" s="17"/>
      <c r="C525" s="18" t="s">
        <v>27</v>
      </c>
      <c r="D525" s="19" t="s">
        <v>1390</v>
      </c>
      <c r="E525" s="20" t="s">
        <v>544</v>
      </c>
      <c r="F525" s="19">
        <v>82051489</v>
      </c>
      <c r="G525" s="19" t="s">
        <v>1392</v>
      </c>
      <c r="H525" s="22">
        <v>45645</v>
      </c>
      <c r="I525" s="28" t="s">
        <v>1396</v>
      </c>
      <c r="J525" s="29">
        <v>531000000</v>
      </c>
      <c r="K525" s="29">
        <v>531000000</v>
      </c>
      <c r="L525" s="26" t="s">
        <v>30</v>
      </c>
      <c r="M525" s="30" t="s">
        <v>270</v>
      </c>
      <c r="N525" s="31" t="s">
        <v>1397</v>
      </c>
      <c r="O525" s="32"/>
      <c r="P525" s="32"/>
      <c r="Q525" s="31" t="s">
        <v>33</v>
      </c>
      <c r="R525" s="33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spans="1:31" ht="13.8">
      <c r="A526" s="10"/>
      <c r="B526" s="17"/>
      <c r="C526" s="18" t="s">
        <v>27</v>
      </c>
      <c r="D526" s="19" t="s">
        <v>1390</v>
      </c>
      <c r="E526" s="20" t="s">
        <v>544</v>
      </c>
      <c r="F526" s="19">
        <v>82051489</v>
      </c>
      <c r="G526" s="19" t="s">
        <v>1392</v>
      </c>
      <c r="H526" s="22">
        <v>45645</v>
      </c>
      <c r="I526" s="28" t="s">
        <v>1398</v>
      </c>
      <c r="J526" s="29">
        <v>551200000</v>
      </c>
      <c r="K526" s="29">
        <v>551170500</v>
      </c>
      <c r="L526" s="26" t="s">
        <v>30</v>
      </c>
      <c r="M526" s="30" t="s">
        <v>1399</v>
      </c>
      <c r="N526" s="31" t="s">
        <v>1400</v>
      </c>
      <c r="O526" s="32"/>
      <c r="P526" s="32"/>
      <c r="Q526" s="31" t="s">
        <v>33</v>
      </c>
      <c r="R526" s="33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spans="1:31" ht="13.8">
      <c r="A527" s="10"/>
      <c r="B527" s="17"/>
      <c r="C527" s="18" t="s">
        <v>34</v>
      </c>
      <c r="D527" s="19" t="s">
        <v>1401</v>
      </c>
      <c r="E527" s="20" t="s">
        <v>1402</v>
      </c>
      <c r="F527" s="19">
        <v>91090170</v>
      </c>
      <c r="G527" s="19" t="s">
        <v>1403</v>
      </c>
      <c r="H527" s="22">
        <v>46003</v>
      </c>
      <c r="I527" s="28" t="s">
        <v>1404</v>
      </c>
      <c r="J527" s="29">
        <v>109440000</v>
      </c>
      <c r="K527" s="29">
        <v>109440000</v>
      </c>
      <c r="L527" s="26" t="s">
        <v>231</v>
      </c>
      <c r="M527" s="30" t="s">
        <v>1405</v>
      </c>
      <c r="N527" s="31" t="s">
        <v>1406</v>
      </c>
      <c r="O527" s="32"/>
      <c r="P527" s="32"/>
      <c r="Q527" s="31" t="s">
        <v>33</v>
      </c>
      <c r="R527" s="33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spans="1:31" ht="13.8">
      <c r="A528" s="10"/>
      <c r="B528" s="17"/>
      <c r="C528" s="21"/>
      <c r="D528" s="21"/>
      <c r="E528" s="21"/>
      <c r="F528" s="21"/>
      <c r="G528" s="21"/>
      <c r="H528" s="22"/>
      <c r="I528" s="28" t="s">
        <v>41</v>
      </c>
      <c r="J528" s="29"/>
      <c r="K528" s="24"/>
      <c r="L528" s="24"/>
      <c r="M528" s="35"/>
      <c r="N528" s="31"/>
      <c r="O528" s="31"/>
      <c r="P528" s="31"/>
      <c r="Q528" s="24"/>
      <c r="R528" s="37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spans="1:31" ht="13.8">
      <c r="A529" s="10">
        <v>35</v>
      </c>
      <c r="B529" s="17" t="s">
        <v>1407</v>
      </c>
      <c r="C529" s="18" t="s">
        <v>23</v>
      </c>
      <c r="D529" s="113" t="s">
        <v>1408</v>
      </c>
      <c r="E529" s="20" t="s">
        <v>544</v>
      </c>
      <c r="F529" s="19">
        <v>79031391</v>
      </c>
      <c r="G529" s="30" t="s">
        <v>1409</v>
      </c>
      <c r="H529" s="22">
        <v>45715</v>
      </c>
      <c r="I529" s="28" t="s">
        <v>41</v>
      </c>
      <c r="J529" s="29"/>
      <c r="K529" s="24"/>
      <c r="L529" s="24"/>
      <c r="M529" s="35"/>
      <c r="N529" s="31"/>
      <c r="O529" s="31"/>
      <c r="P529" s="31"/>
      <c r="Q529" s="31"/>
      <c r="R529" s="33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spans="1:31" ht="13.8">
      <c r="A530" s="53"/>
      <c r="B530" s="53"/>
      <c r="C530" s="18" t="s">
        <v>27</v>
      </c>
      <c r="D530" s="114" t="s">
        <v>1410</v>
      </c>
      <c r="E530" s="20" t="s">
        <v>544</v>
      </c>
      <c r="F530" s="19">
        <v>79031391</v>
      </c>
      <c r="G530" s="19" t="s">
        <v>1411</v>
      </c>
      <c r="H530" s="22">
        <v>45700</v>
      </c>
      <c r="I530" s="28" t="s">
        <v>1412</v>
      </c>
      <c r="J530" s="29">
        <v>536404000</v>
      </c>
      <c r="K530" s="112">
        <v>536404000</v>
      </c>
      <c r="L530" s="26" t="s">
        <v>30</v>
      </c>
      <c r="M530" s="30" t="s">
        <v>270</v>
      </c>
      <c r="N530" s="31" t="s">
        <v>1413</v>
      </c>
      <c r="O530" s="32"/>
      <c r="P530" s="32"/>
      <c r="Q530" s="31" t="s">
        <v>33</v>
      </c>
      <c r="R530" s="33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spans="1:31" ht="13.8">
      <c r="A531" s="53"/>
      <c r="B531" s="53"/>
      <c r="C531" s="18" t="s">
        <v>27</v>
      </c>
      <c r="D531" s="114" t="s">
        <v>1414</v>
      </c>
      <c r="E531" s="20" t="s">
        <v>544</v>
      </c>
      <c r="F531" s="19">
        <v>79031391</v>
      </c>
      <c r="G531" s="19" t="s">
        <v>1411</v>
      </c>
      <c r="H531" s="22">
        <v>45700</v>
      </c>
      <c r="I531" s="28" t="s">
        <v>1415</v>
      </c>
      <c r="J531" s="29">
        <v>194718000</v>
      </c>
      <c r="K531" s="112">
        <v>194718000</v>
      </c>
      <c r="L531" s="26" t="s">
        <v>30</v>
      </c>
      <c r="M531" s="30" t="s">
        <v>270</v>
      </c>
      <c r="N531" s="31" t="s">
        <v>1416</v>
      </c>
      <c r="O531" s="32"/>
      <c r="P531" s="32"/>
      <c r="Q531" s="31" t="s">
        <v>33</v>
      </c>
      <c r="R531" s="33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spans="1:31" ht="13.8">
      <c r="A532" s="53"/>
      <c r="B532" s="53"/>
      <c r="C532" s="18" t="s">
        <v>27</v>
      </c>
      <c r="D532" s="114" t="s">
        <v>1417</v>
      </c>
      <c r="E532" s="20" t="s">
        <v>544</v>
      </c>
      <c r="F532" s="19">
        <v>79031391</v>
      </c>
      <c r="G532" s="19" t="s">
        <v>1411</v>
      </c>
      <c r="H532" s="22">
        <v>45700</v>
      </c>
      <c r="I532" s="28" t="s">
        <v>1418</v>
      </c>
      <c r="J532" s="29">
        <v>562500000</v>
      </c>
      <c r="K532" s="112">
        <v>562500000</v>
      </c>
      <c r="L532" s="26" t="s">
        <v>30</v>
      </c>
      <c r="M532" s="30" t="s">
        <v>270</v>
      </c>
      <c r="N532" s="31" t="s">
        <v>1419</v>
      </c>
      <c r="O532" s="32"/>
      <c r="P532" s="32"/>
      <c r="Q532" s="31" t="s">
        <v>33</v>
      </c>
      <c r="R532" s="33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spans="1:31" ht="13.8">
      <c r="A533" s="53"/>
      <c r="B533" s="53"/>
      <c r="C533" s="18" t="s">
        <v>27</v>
      </c>
      <c r="D533" s="114" t="s">
        <v>1420</v>
      </c>
      <c r="E533" s="20" t="s">
        <v>544</v>
      </c>
      <c r="F533" s="19">
        <v>79031391</v>
      </c>
      <c r="G533" s="19" t="s">
        <v>1421</v>
      </c>
      <c r="H533" s="22">
        <v>46021</v>
      </c>
      <c r="I533" s="28" t="s">
        <v>1422</v>
      </c>
      <c r="J533" s="29">
        <v>587216000</v>
      </c>
      <c r="K533" s="112">
        <v>587107860</v>
      </c>
      <c r="L533" s="26" t="s">
        <v>30</v>
      </c>
      <c r="M533" s="30" t="s">
        <v>1399</v>
      </c>
      <c r="N533" s="31" t="s">
        <v>1423</v>
      </c>
      <c r="O533" s="32"/>
      <c r="P533" s="32"/>
      <c r="Q533" s="31" t="s">
        <v>33</v>
      </c>
      <c r="R533" s="33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spans="1:31" ht="13.8">
      <c r="A534" s="53"/>
      <c r="B534" s="53"/>
      <c r="C534" s="18" t="s">
        <v>34</v>
      </c>
      <c r="D534" s="19" t="s">
        <v>1424</v>
      </c>
      <c r="E534" s="20" t="s">
        <v>1114</v>
      </c>
      <c r="F534" s="19">
        <v>79061285</v>
      </c>
      <c r="G534" s="19" t="s">
        <v>1425</v>
      </c>
      <c r="H534" s="22">
        <v>46013</v>
      </c>
      <c r="I534" s="28" t="s">
        <v>1426</v>
      </c>
      <c r="J534" s="29">
        <v>189600000</v>
      </c>
      <c r="K534" s="112">
        <v>189530267</v>
      </c>
      <c r="L534" s="26" t="s">
        <v>30</v>
      </c>
      <c r="M534" s="111" t="s">
        <v>1399</v>
      </c>
      <c r="N534" s="31" t="s">
        <v>1427</v>
      </c>
      <c r="O534" s="32"/>
      <c r="P534" s="32"/>
      <c r="Q534" s="31" t="s">
        <v>33</v>
      </c>
      <c r="R534" s="33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spans="1:31" ht="13.8">
      <c r="A535" s="53"/>
      <c r="B535" s="53"/>
      <c r="C535" s="18" t="s">
        <v>34</v>
      </c>
      <c r="D535" s="19" t="s">
        <v>1424</v>
      </c>
      <c r="E535" s="20" t="s">
        <v>1114</v>
      </c>
      <c r="F535" s="19">
        <v>79061285</v>
      </c>
      <c r="G535" s="19" t="s">
        <v>1425</v>
      </c>
      <c r="H535" s="22">
        <v>46013</v>
      </c>
      <c r="I535" s="28" t="s">
        <v>1428</v>
      </c>
      <c r="J535" s="29">
        <v>57975000</v>
      </c>
      <c r="K535" s="112">
        <v>56994060</v>
      </c>
      <c r="L535" s="26" t="s">
        <v>30</v>
      </c>
      <c r="M535" s="30" t="s">
        <v>1399</v>
      </c>
      <c r="N535" s="31" t="s">
        <v>1429</v>
      </c>
      <c r="O535" s="32"/>
      <c r="P535" s="32"/>
      <c r="Q535" s="31" t="s">
        <v>33</v>
      </c>
      <c r="R535" s="33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spans="1:31" ht="13.8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115"/>
      <c r="N536" s="53"/>
      <c r="O536" s="53"/>
      <c r="P536" s="53"/>
      <c r="Q536" s="53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spans="1:31" ht="13.8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3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spans="1:31" ht="13.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3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spans="1:31" ht="13.8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3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spans="1:31" ht="13.8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3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spans="1:31" ht="13.8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3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spans="1:31" ht="13.8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3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spans="1:31" ht="13.8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3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spans="1:31" ht="13.8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3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spans="1:31" ht="13.8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3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spans="1:31" ht="13.8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3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spans="1:31" ht="13.8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3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spans="1:31" ht="13.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3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spans="1:31" ht="13.8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3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spans="1:31" ht="13.8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3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spans="1:31" ht="13.8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3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spans="1:31" ht="13.8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3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spans="1:31" ht="13.8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3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spans="1:31" ht="13.8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3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spans="1:31" ht="13.8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3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spans="1:31" ht="13.8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3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spans="1:31" ht="13.8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3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spans="1:31" ht="13.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3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spans="1:31" ht="13.8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3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spans="1:31" ht="13.8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3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spans="1:31" ht="13.8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3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spans="1:31" ht="13.8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3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spans="1:31" ht="13.8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3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spans="1:31" ht="13.8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3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spans="1:31" ht="13.8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3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spans="1:31" ht="13.8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3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spans="1:31" ht="13.8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3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spans="1:31" ht="13.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3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spans="1:31" ht="13.8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3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spans="1:31" ht="13.8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3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spans="1:31" ht="13.8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3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spans="1:31" ht="13.8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3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spans="1:31" ht="13.8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3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spans="1:31" ht="13.8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3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spans="1:31" ht="13.8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3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spans="1:31" ht="13.8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3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spans="1:31" ht="13.8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3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spans="1:31" ht="13.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3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spans="1:31" ht="13.8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3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spans="1:31" ht="13.8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3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spans="1:31" ht="13.8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3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spans="1:31" ht="13.8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3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spans="1:31" ht="13.8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3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spans="1:31" ht="13.8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3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spans="1:31" ht="13.8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3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spans="1:31" ht="13.8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3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spans="1:31" ht="13.8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3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spans="1:31" ht="13.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3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spans="1:31" ht="13.8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3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spans="1:31" ht="13.8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3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spans="1:31" ht="13.8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3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spans="1:31" ht="13.8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3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spans="1:31" ht="13.8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3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spans="1:31" ht="13.8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3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spans="1:31" ht="13.8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3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spans="1:31" ht="13.8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3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spans="1:31" ht="13.8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3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spans="1:31" ht="13.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3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spans="1:31" ht="13.8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3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spans="1:31" ht="13.8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3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spans="1:31" ht="13.8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3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spans="1:31" ht="13.8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3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spans="1:31" ht="13.8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3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spans="1:31" ht="13.8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3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spans="1:31" ht="13.8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3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spans="1:31" ht="13.8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3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spans="1:31" ht="13.8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3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spans="1:31" ht="13.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3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spans="1:31" ht="13.8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3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spans="1:31" ht="13.8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3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spans="1:31" ht="13.8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3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spans="1:31" ht="13.8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3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spans="1:31" ht="13.8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3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spans="1:31" ht="13.8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3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spans="1:31" ht="13.8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3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spans="1:31" ht="13.8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3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spans="1:31" ht="13.8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3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spans="1:31" ht="13.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3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spans="1:31" ht="13.8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3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spans="1:31" ht="13.8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3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spans="1:31" ht="13.8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3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spans="1:31" ht="13.8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3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spans="1:31" ht="13.8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3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spans="1:31" ht="13.8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3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spans="1:31" ht="13.8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3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spans="1:31" ht="13.8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3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spans="1:31" ht="13.8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3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spans="1:31" ht="13.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3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spans="1:31" ht="13.8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3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spans="1:31" ht="13.8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3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spans="1:31" ht="13.8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3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spans="1:31" ht="13.8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3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spans="1:31" ht="13.8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3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spans="1:31" ht="13.8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3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spans="1:31" ht="13.8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3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spans="1:31" ht="13.8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3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spans="1:31" ht="13.8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3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spans="1:31" ht="13.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3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spans="1:31" ht="13.8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3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spans="1:31" ht="13.8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3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spans="1:31" ht="13.8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3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spans="1:31" ht="13.8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3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spans="1:31" ht="13.8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3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spans="1:31" ht="13.8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3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spans="1:31" ht="13.8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3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spans="1:31" ht="13.8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3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spans="1:31" ht="13.8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3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spans="1:31" ht="13.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3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spans="1:31" ht="13.8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3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spans="1:31" ht="13.8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3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spans="1:31" ht="13.8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3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spans="1:31" ht="13.8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3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spans="1:31" ht="13.8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3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spans="1:31" ht="13.8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3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spans="1:31" ht="13.8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3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spans="1:31" ht="13.8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3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spans="1:31" ht="13.8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3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spans="1:31" ht="13.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3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spans="1:31" ht="13.8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3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spans="1:31" ht="13.8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3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spans="1:31" ht="13.8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3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spans="1:31" ht="13.8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3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spans="1:31" ht="13.8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3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spans="1:31" ht="13.8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3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spans="1:31" ht="13.8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3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spans="1:31" ht="13.8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3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spans="1:31" ht="13.8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3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spans="1:31" ht="13.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3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spans="1:31" ht="13.8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3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spans="1:31" ht="13.8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3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spans="1:31" ht="13.8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3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spans="1:31" ht="13.8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3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spans="1:31" ht="13.8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3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spans="1:31" ht="13.8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3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spans="1:31" ht="13.8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3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spans="1:31" ht="13.8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3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spans="1:31" ht="13.8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3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spans="1:31" ht="13.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3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spans="1:31" ht="13.8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3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spans="1:31" ht="13.8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3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spans="1:31" ht="13.8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3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spans="1:31" ht="13.8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3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spans="1:31" ht="13.8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3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spans="1:31" ht="13.8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3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spans="1:31" ht="13.8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3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spans="1:31" ht="13.8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3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spans="1:31" ht="13.8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3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spans="1:31" ht="13.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3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spans="1:31" ht="13.8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3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spans="1:31" ht="13.8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3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spans="1:31" ht="13.8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3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spans="1:31" ht="13.8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3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spans="1:31" ht="13.8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3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spans="1:31" ht="13.8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3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spans="1:31" ht="13.8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3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spans="1:31" ht="13.8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3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spans="1:31" ht="13.8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3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spans="1:31" ht="13.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3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spans="1:31" ht="13.8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3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spans="1:31" ht="13.8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3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spans="1:31" ht="13.8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3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spans="1:31" ht="13.8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3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spans="1:31" ht="13.8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3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spans="1:31" ht="13.8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3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spans="1:31" ht="13.8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3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spans="1:31" ht="13.8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3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spans="1:31" ht="13.8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3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spans="1:31" ht="13.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3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spans="1:31" ht="13.8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3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spans="1:31" ht="13.8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3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spans="1:31" ht="13.8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3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spans="1:31" ht="13.8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3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spans="1:31" ht="13.8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3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spans="1:31" ht="13.8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3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spans="1:31" ht="13.8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3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spans="1:31" ht="13.8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3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spans="1:31" ht="13.8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3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spans="1:31" ht="13.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3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spans="1:31" ht="13.8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3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spans="1:31" ht="13.8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3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spans="1:31" ht="13.8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3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spans="1:31" ht="13.8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3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spans="1:31" ht="13.8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3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spans="1:31" ht="13.8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3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spans="1:31" ht="13.8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3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spans="1:31" ht="13.8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3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spans="1:31" ht="13.8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3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spans="1:31" ht="13.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3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spans="1:31" ht="13.8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3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spans="1:31" ht="13.8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3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spans="1:31" ht="13.8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3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spans="1:31" ht="13.8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3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spans="1:31" ht="13.8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3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spans="1:31" ht="13.8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3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spans="1:31" ht="13.8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3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spans="1:31" ht="13.8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3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spans="1:31" ht="13.8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3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spans="1:31" ht="13.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3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spans="1:31" ht="13.8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3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spans="1:31" ht="13.8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3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spans="1:31" ht="13.8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3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spans="1:31" ht="13.8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3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spans="1:31" ht="13.8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3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spans="1:31" ht="13.8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3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spans="1:31" ht="13.8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3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spans="1:31" ht="13.8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3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spans="1:31" ht="13.8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3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spans="1:31" ht="13.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3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spans="1:31" ht="13.8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3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spans="1:31" ht="13.8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3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spans="1:31" ht="13.8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3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spans="1:31" ht="13.8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3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spans="1:31" ht="13.8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3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spans="1:31" ht="13.8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3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spans="1:31" ht="13.8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3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spans="1:31" ht="13.8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3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spans="1:31" ht="13.8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3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spans="1:31" ht="13.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3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spans="1:31" ht="13.8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3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spans="1:31" ht="13.8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3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spans="1:31" ht="13.8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3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spans="1:31" ht="13.8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3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spans="1:31" ht="13.8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3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spans="1:31" ht="13.8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3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spans="1:31" ht="13.8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3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spans="1:31" ht="13.8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3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spans="1:31" ht="13.8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3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spans="1:31" ht="13.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3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spans="1:31" ht="13.8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3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spans="1:31" ht="13.8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3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spans="1:31" ht="13.8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3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spans="1:31" ht="13.8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3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spans="1:31" ht="13.8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3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spans="1:31" ht="13.8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3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spans="1:31" ht="13.8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3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spans="1:31" ht="13.8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3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spans="1:31" ht="13.8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3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spans="1:31" ht="13.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3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spans="1:31" ht="13.8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3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spans="1:31" ht="13.8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3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spans="1:31" ht="13.8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3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spans="1:31" ht="13.8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3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spans="1:31" ht="13.8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3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spans="1:31" ht="13.8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3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spans="1:31" ht="13.8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3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spans="1:31" ht="13.8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3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spans="1:31" ht="13.8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3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spans="1:31" ht="13.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3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spans="1:31" ht="13.8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3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spans="1:31" ht="13.8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3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spans="1:31" ht="13.8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3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spans="1:31" ht="13.8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3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spans="1:31" ht="13.8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3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spans="1:31" ht="13.8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3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spans="1:31" ht="13.8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3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spans="1:31" ht="13.8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3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spans="1:31" ht="13.8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3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spans="1:31" ht="13.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3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spans="1:31" ht="13.8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3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spans="1:31" ht="13.8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3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spans="1:31" ht="13.8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3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spans="1:31" ht="13.8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3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spans="1:31" ht="13.8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3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spans="1:31" ht="13.8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3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spans="1:31" ht="13.8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3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spans="1:31" ht="13.8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3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spans="1:31" ht="13.8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3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spans="1:31" ht="13.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3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spans="1:31" ht="13.8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3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spans="1:31" ht="13.8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3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spans="1:31" ht="13.8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3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spans="1:31" ht="13.8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3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spans="1:31" ht="13.8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3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spans="1:31" ht="13.8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3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spans="1:31" ht="13.8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3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spans="1:31" ht="13.8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3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spans="1:31" ht="13.8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3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spans="1:31" ht="13.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3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spans="1:31" ht="13.8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3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spans="1:31" ht="13.8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3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spans="1:31" ht="13.8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3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spans="1:31" ht="13.8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3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spans="1:31" ht="13.8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3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spans="1:31" ht="13.8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3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spans="1:31" ht="13.8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3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spans="1:31" ht="13.8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3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spans="1:31" ht="13.8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3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spans="1:31" ht="13.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3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spans="1:31" ht="13.8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3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spans="1:31" ht="13.8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3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spans="1:31" ht="13.8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3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spans="1:31" ht="13.8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3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spans="1:31" ht="13.8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3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spans="1:31" ht="13.8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3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spans="1:31" ht="13.8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3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spans="1:31" ht="13.8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3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spans="1:31" ht="13.8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3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spans="1:31" ht="13.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3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spans="1:31" ht="13.8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3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spans="1:31" ht="13.8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3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spans="1:31" ht="13.8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3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spans="1:31" ht="13.8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3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spans="1:31" ht="13.8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3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spans="1:31" ht="13.8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3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spans="1:31" ht="13.8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3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spans="1:31" ht="13.8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3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spans="1:31" ht="13.8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3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spans="1:31" ht="13.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3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spans="1:31" ht="13.8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3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spans="1:31" ht="13.8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3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spans="1:31" ht="13.8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3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spans="1:31" ht="13.8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3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spans="1:31" ht="13.8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3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spans="1:31" ht="13.8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3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spans="1:31" ht="13.8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3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spans="1:31" ht="13.8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3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spans="1:31" ht="13.8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3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spans="1:31" ht="13.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3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spans="1:31" ht="13.8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3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spans="1:31" ht="13.8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3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spans="1:31" ht="13.8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3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spans="1:31" ht="13.8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3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spans="1:31" ht="13.8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3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spans="1:31" ht="13.8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3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spans="1:31" ht="13.8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3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spans="1:31" ht="13.8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3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spans="1:31" ht="13.8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3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spans="1:31" ht="13.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3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spans="1:31" ht="13.8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3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spans="1:31" ht="13.8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3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spans="1:31" ht="13.8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3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spans="1:31" ht="13.8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3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spans="1:31" ht="13.8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3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spans="1:31" ht="13.8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3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spans="1:31" ht="13.8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3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spans="1:31" ht="13.8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3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spans="1:31" ht="13.8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3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spans="1:31" ht="13.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3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spans="1:31" ht="13.8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3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spans="1:31" ht="13.8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3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spans="1:31" ht="13.8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3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spans="1:31" ht="13.8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3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spans="1:31" ht="13.8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3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spans="1:31" ht="13.8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3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spans="1:31" ht="13.8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3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spans="1:31" ht="13.8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3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spans="1:31" ht="13.8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3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spans="1:31" ht="13.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3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spans="1:31" ht="13.8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3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spans="1:31" ht="13.8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3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spans="1:31" ht="13.8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3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spans="1:31" ht="13.8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3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spans="1:31" ht="13.8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3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spans="1:31" ht="13.8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3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spans="1:31" ht="13.8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3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spans="1:31" ht="13.8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3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spans="1:31" ht="13.8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3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spans="1:31" ht="13.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3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spans="1:31" ht="13.8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3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spans="1:31" ht="13.8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3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spans="1:31" ht="13.8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3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spans="1:31" ht="13.8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3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spans="1:31" ht="13.8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3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spans="1:31" ht="13.8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3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spans="1:31" ht="13.8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3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spans="1:31" ht="13.8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3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spans="1:31" ht="13.8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3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spans="1:31" ht="13.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3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spans="1:31" ht="13.8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3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spans="1:31" ht="13.8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3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spans="1:31" ht="13.8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3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spans="1:31" ht="13.8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3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spans="1:31" ht="13.8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3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spans="1:31" ht="13.8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3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spans="1:31" ht="13.8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3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spans="1:31" ht="13.8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3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spans="1:31" ht="13.8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3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spans="1:31" ht="13.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3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spans="1:31" ht="13.8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3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spans="1:31" ht="13.8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3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spans="1:31" ht="13.8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3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spans="1:31" ht="13.8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3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spans="1:31" ht="13.8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3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spans="1:31" ht="13.8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3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spans="1:31" ht="13.8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3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spans="1:31" ht="13.8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3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spans="1:31" ht="13.8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3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spans="1:31" ht="13.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3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 spans="1:31" ht="13.8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3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 spans="1:31" ht="13.8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3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 spans="1:31" ht="13.8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3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 spans="1:31" ht="13.8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3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 spans="1:31" ht="13.8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3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 spans="1:31" ht="13.8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3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 spans="1:31" ht="13.8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3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 spans="1:31" ht="13.8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3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 spans="1:31" ht="13.8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3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 spans="1:31" ht="13.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3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 spans="1:31" ht="13.8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3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spans="1:31" ht="13.8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3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 spans="1:31" ht="13.8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3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 spans="1:31" ht="13.8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3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 spans="1:31" ht="13.8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3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 spans="1:31" ht="13.8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3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 spans="1:31" ht="13.8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3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 spans="1:31" ht="13.8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3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 spans="1:31" ht="13.8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3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 spans="1:31" ht="13.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3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 spans="1:31" ht="13.8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3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 spans="1:31" ht="13.8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3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 spans="1:31" ht="13.8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3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 spans="1:31" ht="13.8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3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 spans="1:31" ht="13.8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3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 spans="1:31" ht="13.8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3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 spans="1:31" ht="13.8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3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 spans="1:31" ht="13.8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3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 spans="1:31" ht="13.8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3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 spans="1:31" ht="13.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3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 spans="1:31" ht="13.8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3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 spans="1:31" ht="13.8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3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 spans="1:31" ht="13.8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3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 spans="1:31" ht="13.8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3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 spans="1:31" ht="13.8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3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 spans="1:31" ht="13.8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3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 spans="1:31" ht="13.8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3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 spans="1:31" ht="13.8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3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 spans="1:31" ht="13.8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3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 spans="1:31" ht="13.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3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 spans="1:31" ht="13.8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3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 spans="1:31" ht="13.8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3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 spans="1:31" ht="13.8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3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 spans="1:31" ht="13.8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3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 spans="1:31" ht="13.8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3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 spans="1:31" ht="13.8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3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 spans="1:31" ht="13.8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3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 spans="1:31" ht="13.8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3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 spans="1:31" ht="13.8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3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 spans="1:31" ht="13.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3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 spans="1:31" ht="13.8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3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 spans="1:31" ht="13.8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3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 spans="1:31" ht="13.8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3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 spans="1:31" ht="13.8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3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 spans="1:31" ht="13.8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3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 spans="1:31" ht="13.8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3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 spans="1:31" ht="13.8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3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 spans="1:31" ht="13.8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3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 spans="1:31" ht="13.8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3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 spans="1:31" ht="13.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3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 spans="1:31" ht="13.8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3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 spans="1:31" ht="13.8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3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 spans="1:31" ht="13.8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3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 spans="1:31" ht="13.8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3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 spans="1:31" ht="13.8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3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 spans="1:31" ht="13.8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3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 spans="1:31" ht="13.8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3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 spans="1:31" ht="13.8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3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 spans="1:31" ht="13.8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3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 spans="1:31" ht="13.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3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 spans="1:31" ht="13.8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3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 spans="1:31" ht="13.8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3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  <row r="1001" spans="1:31" ht="13.8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3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</row>
    <row r="1002" spans="1:31" ht="13.8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3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</row>
    <row r="1003" spans="1:31" ht="13.8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3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</row>
    <row r="1004" spans="1:31" ht="13.8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3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</row>
    <row r="1005" spans="1:31" ht="13.8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3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</row>
    <row r="1006" spans="1:31" ht="13.8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3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</row>
    <row r="1007" spans="1:31" ht="13.8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3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</row>
    <row r="1008" spans="1:31" ht="13.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3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</row>
    <row r="1009" spans="1:31" ht="13.8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3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</row>
    <row r="1010" spans="1:31" ht="13.8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3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</row>
    <row r="1011" spans="1:31" ht="13.8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3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</row>
    <row r="1012" spans="1:31" ht="13.8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3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</row>
    <row r="1013" spans="1:31" ht="13.8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3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</row>
    <row r="1014" spans="1:31" ht="13.8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3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</row>
    <row r="1015" spans="1:31" ht="13.8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3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</row>
    <row r="1016" spans="1:31" ht="13.8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3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</row>
    <row r="1017" spans="1:31" ht="13.8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3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</row>
    <row r="1018" spans="1:31" ht="13.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3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</row>
    <row r="1019" spans="1:31" ht="13.8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3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</row>
    <row r="1020" spans="1:31" ht="13.8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3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</row>
    <row r="1021" spans="1:31" ht="13.8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3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</row>
    <row r="1022" spans="1:31" ht="13.8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3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</row>
    <row r="1023" spans="1:31" ht="13.8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3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</row>
    <row r="1024" spans="1:31" ht="13.8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3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</row>
    <row r="1025" spans="1:31" ht="13.8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3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</row>
    <row r="1026" spans="1:31" ht="13.8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3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</row>
    <row r="1027" spans="1:31" ht="13.8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3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</row>
    <row r="1028" spans="1:31" ht="13.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3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</row>
    <row r="1029" spans="1:31" ht="13.8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3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</row>
    <row r="1030" spans="1:31" ht="13.8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3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</row>
    <row r="1031" spans="1:31" ht="13.8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3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</row>
    <row r="1032" spans="1:31" ht="13.8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3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</row>
    <row r="1033" spans="1:31" ht="13.8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3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</row>
    <row r="1034" spans="1:31" ht="13.8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3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</row>
    <row r="1035" spans="1:31" ht="13.8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3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</row>
    <row r="1036" spans="1:31" ht="13.8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3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</row>
    <row r="1037" spans="1:31" ht="13.8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3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</row>
    <row r="1038" spans="1:31" ht="13.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3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</row>
    <row r="1039" spans="1:31" ht="13.8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3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</row>
    <row r="1040" spans="1:31" ht="13.8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3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</row>
    <row r="1041" spans="1:31" ht="13.8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3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</row>
    <row r="1042" spans="1:31" ht="13.8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3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</row>
    <row r="1043" spans="1:31" ht="13.8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3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</row>
    <row r="1044" spans="1:31" ht="13.8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3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</row>
    <row r="1045" spans="1:31" ht="13.8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3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</row>
    <row r="1046" spans="1:31" ht="13.8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3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</row>
    <row r="1047" spans="1:31" ht="13.8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3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</row>
    <row r="1048" spans="1:31" ht="13.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3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</row>
    <row r="1049" spans="1:31" ht="13.8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3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</row>
    <row r="1050" spans="1:31" ht="13.8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3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</row>
    <row r="1051" spans="1:31" ht="13.8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3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</row>
    <row r="1052" spans="1:31" ht="13.8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3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</row>
    <row r="1053" spans="1:31" ht="13.8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3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</row>
    <row r="1054" spans="1:31" ht="13.8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3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</row>
    <row r="1055" spans="1:31" ht="13.8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3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</row>
    <row r="1056" spans="1:31" ht="13.8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3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</row>
    <row r="1057" spans="1:31" ht="13.8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3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</row>
    <row r="1058" spans="1:31" ht="13.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3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</row>
    <row r="1059" spans="1:31" ht="13.8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3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</row>
    <row r="1060" spans="1:31" ht="13.8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3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</row>
    <row r="1061" spans="1:31" ht="13.8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3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</row>
    <row r="1062" spans="1:31" ht="13.8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3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</row>
    <row r="1063" spans="1:31" ht="13.8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3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</row>
    <row r="1064" spans="1:31" ht="13.8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3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</row>
    <row r="1065" spans="1:31" ht="13.8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3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</row>
    <row r="1066" spans="1:31" ht="13.8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3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</row>
    <row r="1067" spans="1:31" ht="13.8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3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</row>
    <row r="1068" spans="1:31" ht="13.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3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</row>
    <row r="1069" spans="1:31" ht="13.8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3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</row>
    <row r="1070" spans="1:31" ht="13.8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3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</row>
    <row r="1071" spans="1:31" ht="13.8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3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</row>
    <row r="1072" spans="1:31" ht="13.8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3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</row>
    <row r="1073" spans="1:31" ht="13.8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3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</row>
    <row r="1074" spans="1:31" ht="13.8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3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</row>
    <row r="1075" spans="1:31" ht="13.8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3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</row>
    <row r="1076" spans="1:31" ht="13.8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3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</row>
    <row r="1077" spans="1:31" ht="13.8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3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</row>
    <row r="1078" spans="1:31" ht="13.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3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</row>
    <row r="1079" spans="1:31" ht="13.8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3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</row>
    <row r="1080" spans="1:31" ht="13.8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3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</row>
    <row r="1081" spans="1:31" ht="13.8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3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</row>
    <row r="1082" spans="1:31" ht="13.8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3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</row>
    <row r="1083" spans="1:31" ht="13.8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3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</row>
    <row r="1084" spans="1:31" ht="13.8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3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</row>
    <row r="1085" spans="1:31" ht="13.8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3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</row>
    <row r="1086" spans="1:31" ht="13.8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3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</row>
    <row r="1087" spans="1:31" ht="13.8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3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</row>
    <row r="1088" spans="1:31" ht="13.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3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</row>
    <row r="1089" spans="1:31" ht="13.8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3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</row>
    <row r="1090" spans="1:31" ht="13.8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3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</row>
    <row r="1091" spans="1:31" ht="13.8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3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</row>
    <row r="1092" spans="1:31" ht="13.8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3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</row>
    <row r="1093" spans="1:31" ht="13.8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3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</row>
    <row r="1094" spans="1:31" ht="13.8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3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</row>
    <row r="1095" spans="1:31" ht="13.8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3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</row>
    <row r="1096" spans="1:31" ht="13.8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3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</row>
    <row r="1097" spans="1:31" ht="13.8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3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</row>
    <row r="1098" spans="1:31" ht="13.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3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</row>
    <row r="1099" spans="1:31" ht="13.8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3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</row>
    <row r="1100" spans="1:31" ht="13.8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3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</row>
    <row r="1101" spans="1:31" ht="13.8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3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</row>
    <row r="1102" spans="1:31" ht="13.8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3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</row>
    <row r="1103" spans="1:31" ht="13.8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3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</row>
    <row r="1104" spans="1:31" ht="13.8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3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</row>
    <row r="1105" spans="1:31" ht="13.8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3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</row>
    <row r="1106" spans="1:31" ht="13.8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3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</row>
    <row r="1107" spans="1:31" ht="13.8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3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</row>
    <row r="1108" spans="1:31" ht="13.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3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</row>
    <row r="1109" spans="1:31" ht="13.8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3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</row>
    <row r="1110" spans="1:31" ht="13.8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3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</row>
    <row r="1111" spans="1:31" ht="13.8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3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</row>
    <row r="1112" spans="1:31" ht="13.8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3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</row>
    <row r="1113" spans="1:31" ht="13.8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3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</row>
    <row r="1114" spans="1:31" ht="13.8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3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</row>
    <row r="1115" spans="1:31" ht="13.8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3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</row>
    <row r="1116" spans="1:31" ht="13.8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3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</row>
    <row r="1117" spans="1:31" ht="13.8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3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</row>
    <row r="1118" spans="1:31" ht="13.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3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</row>
    <row r="1119" spans="1:31" ht="13.8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3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</row>
    <row r="1120" spans="1:31" ht="13.8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3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</row>
    <row r="1121" spans="1:31" ht="13.8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3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</row>
    <row r="1122" spans="1:31" ht="13.8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3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</row>
    <row r="1123" spans="1:31" ht="13.8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3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</row>
    <row r="1124" spans="1:31" ht="13.8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3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</row>
    <row r="1125" spans="1:31" ht="13.8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3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</row>
    <row r="1126" spans="1:31" ht="13.8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3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</row>
    <row r="1127" spans="1:31" ht="13.8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3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</row>
    <row r="1128" spans="1:31" ht="13.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3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</row>
    <row r="1129" spans="1:31" ht="13.8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3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</row>
    <row r="1130" spans="1:31" ht="13.8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3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</row>
    <row r="1131" spans="1:31" ht="13.8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3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</row>
    <row r="1132" spans="1:31" ht="13.8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3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</row>
    <row r="1133" spans="1:31" ht="13.8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3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</row>
    <row r="1134" spans="1:31" ht="13.8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3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</row>
    <row r="1135" spans="1:31" ht="13.8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3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</row>
    <row r="1136" spans="1:31" ht="13.8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3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</row>
    <row r="1137" spans="1:31" ht="13.8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3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</row>
    <row r="1138" spans="1:31" ht="13.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3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</row>
    <row r="1139" spans="1:31" ht="13.8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3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</row>
    <row r="1140" spans="1:31" ht="13.8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3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</row>
    <row r="1141" spans="1:31" ht="13.8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3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</row>
    <row r="1142" spans="1:31" ht="13.8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3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</row>
    <row r="1143" spans="1:31" ht="13.8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3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</row>
    <row r="1144" spans="1:31" ht="13.8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3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</row>
    <row r="1145" spans="1:31" ht="13.8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3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</row>
    <row r="1146" spans="1:31" ht="13.8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3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</row>
    <row r="1147" spans="1:31" ht="13.8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3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</row>
    <row r="1148" spans="1:31" ht="13.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3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</row>
    <row r="1149" spans="1:31" ht="13.8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3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</row>
    <row r="1150" spans="1:31" ht="13.8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3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</row>
    <row r="1151" spans="1:31" ht="13.8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3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</row>
    <row r="1152" spans="1:31" ht="13.8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3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</row>
    <row r="1153" spans="1:31" ht="13.8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3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</row>
    <row r="1154" spans="1:31" ht="13.8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3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</row>
    <row r="1155" spans="1:31" ht="13.8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3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</row>
    <row r="1156" spans="1:31" ht="13.8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3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</row>
    <row r="1157" spans="1:31" ht="13.8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3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</row>
    <row r="1158" spans="1:31" ht="13.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3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</row>
    <row r="1159" spans="1:31" ht="13.8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3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</row>
    <row r="1160" spans="1:31" ht="13.8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3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</row>
    <row r="1161" spans="1:31" ht="13.8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3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</row>
    <row r="1162" spans="1:31" ht="13.8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3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</row>
    <row r="1163" spans="1:31" ht="13.8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3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</row>
    <row r="1164" spans="1:31" ht="13.8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3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</row>
    <row r="1165" spans="1:31" ht="13.8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3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</row>
    <row r="1166" spans="1:31" ht="13.8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3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</row>
    <row r="1167" spans="1:31" ht="13.8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3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</row>
    <row r="1168" spans="1:31" ht="13.8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3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</row>
    <row r="1169" spans="1:31" ht="13.8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3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</row>
    <row r="1170" spans="1:31" ht="13.8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3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</row>
    <row r="1171" spans="1:31" ht="13.8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3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</row>
    <row r="1172" spans="1:31" ht="13.8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3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</row>
    <row r="1173" spans="1:31" ht="13.8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3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</row>
    <row r="1174" spans="1:31" ht="13.8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3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</row>
    <row r="1175" spans="1:31" ht="13.8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3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</row>
    <row r="1176" spans="1:31" ht="13.8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3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</row>
    <row r="1177" spans="1:31" ht="13.8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3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</row>
    <row r="1178" spans="1:31" ht="13.8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3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</row>
    <row r="1179" spans="1:31" ht="13.8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3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</row>
    <row r="1180" spans="1:31" ht="13.8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3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</row>
    <row r="1181" spans="1:31" ht="13.8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3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</row>
    <row r="1182" spans="1:31" ht="13.8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3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</row>
    <row r="1183" spans="1:31" ht="13.8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3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</row>
    <row r="1184" spans="1:31" ht="13.8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3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</row>
    <row r="1185" spans="1:31" ht="13.8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3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</row>
    <row r="1186" spans="1:31" ht="13.8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3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</row>
    <row r="1187" spans="1:31" ht="13.8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3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</row>
    <row r="1188" spans="1:31" ht="13.8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3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</row>
    <row r="1189" spans="1:31" ht="13.8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3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</row>
    <row r="1190" spans="1:31" ht="13.8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3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</row>
    <row r="1191" spans="1:31" ht="13.8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3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</row>
    <row r="1192" spans="1:31" ht="13.8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3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</row>
    <row r="1193" spans="1:31" ht="13.8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3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</row>
    <row r="1194" spans="1:31" ht="13.8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3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</row>
    <row r="1195" spans="1:31" ht="13.8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3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</row>
    <row r="1196" spans="1:31" ht="13.8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3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</row>
    <row r="1197" spans="1:31" ht="13.8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3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</row>
    <row r="1198" spans="1:31" ht="13.8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3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</row>
    <row r="1199" spans="1:31" ht="13.8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3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</row>
    <row r="1200" spans="1:31" ht="13.8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3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</row>
    <row r="1201" spans="1:31" ht="13.8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3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</row>
    <row r="1202" spans="1:31" ht="13.8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3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</row>
    <row r="1203" spans="1:31" ht="13.8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3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</row>
    <row r="1204" spans="1:31" ht="13.8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3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</row>
    <row r="1205" spans="1:31" ht="13.8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3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</row>
    <row r="1206" spans="1:31" ht="13.8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3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</row>
    <row r="1207" spans="1:31" ht="13.8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3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</row>
    <row r="1208" spans="1:31" ht="13.8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3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</row>
    <row r="1209" spans="1:31" ht="13.8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3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</row>
    <row r="1210" spans="1:31" ht="13.8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3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</row>
    <row r="1211" spans="1:31" ht="13.8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3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</row>
    <row r="1212" spans="1:31" ht="13.8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3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</row>
    <row r="1213" spans="1:31" ht="13.8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3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</row>
    <row r="1214" spans="1:31" ht="13.8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3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</row>
    <row r="1215" spans="1:31" ht="13.8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3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</row>
    <row r="1216" spans="1:31" ht="13.8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3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</row>
    <row r="1217" spans="1:31" ht="13.8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3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</row>
    <row r="1218" spans="1:31" ht="13.8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3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</row>
    <row r="1219" spans="1:31" ht="13.8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3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</row>
    <row r="1220" spans="1:31" ht="13.8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3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</row>
    <row r="1221" spans="1:31" ht="13.8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3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</row>
    <row r="1222" spans="1:31" ht="13.8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3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</row>
    <row r="1223" spans="1:31" ht="13.8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3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</row>
    <row r="1224" spans="1:31" ht="13.8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3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</row>
    <row r="1225" spans="1:31" ht="13.8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3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</row>
    <row r="1226" spans="1:31" ht="13.8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3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</row>
    <row r="1227" spans="1:31" ht="13.8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3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</row>
    <row r="1228" spans="1:31" ht="13.8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3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</row>
    <row r="1229" spans="1:31" ht="13.8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3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</row>
    <row r="1230" spans="1:31" ht="13.8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3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</row>
    <row r="1231" spans="1:31" ht="13.8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3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</row>
    <row r="1232" spans="1:31" ht="13.8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3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</row>
    <row r="1233" spans="1:31" ht="13.8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3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</row>
    <row r="1234" spans="1:31" ht="13.8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3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</row>
    <row r="1235" spans="1:31" ht="13.8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3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</row>
    <row r="1236" spans="1:31" ht="13.8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3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</row>
    <row r="1237" spans="1:31" ht="13.8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3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</row>
    <row r="1238" spans="1:31" ht="13.8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3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</row>
    <row r="1239" spans="1:31" ht="13.8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3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</row>
    <row r="1240" spans="1:31" ht="13.8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3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</row>
    <row r="1241" spans="1:31" ht="13.8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3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</row>
    <row r="1242" spans="1:31" ht="13.8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3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</row>
    <row r="1243" spans="1:31" ht="13.8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3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</row>
    <row r="1244" spans="1:31" ht="13.8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3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</row>
    <row r="1245" spans="1:31" ht="13.8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3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</row>
    <row r="1246" spans="1:31" ht="13.8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3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</row>
    <row r="1247" spans="1:31" ht="13.8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3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</row>
    <row r="1248" spans="1:31" ht="13.8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3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</row>
    <row r="1249" spans="1:31" ht="13.8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3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</row>
    <row r="1250" spans="1:31" ht="13.8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3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</row>
    <row r="1251" spans="1:31" ht="13.8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3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</row>
    <row r="1252" spans="1:31" ht="13.8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3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</row>
    <row r="1253" spans="1:31" ht="13.8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3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</row>
    <row r="1254" spans="1:31" ht="13.8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3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</row>
    <row r="1255" spans="1:31" ht="13.8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3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</row>
    <row r="1256" spans="1:31" ht="13.8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3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</row>
    <row r="1257" spans="1:31" ht="13.8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3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</row>
    <row r="1258" spans="1:31" ht="13.8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3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</row>
    <row r="1259" spans="1:31" ht="13.8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3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</row>
    <row r="1260" spans="1:31" ht="13.8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3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</row>
    <row r="1261" spans="1:31" ht="13.8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3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</row>
    <row r="1262" spans="1:31" ht="13.8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3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</row>
    <row r="1263" spans="1:31" ht="13.8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3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</row>
    <row r="1264" spans="1:31" ht="13.8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3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</row>
    <row r="1265" spans="1:31" ht="13.8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3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</row>
    <row r="1266" spans="1:31" ht="13.8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3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</row>
    <row r="1267" spans="1:31" ht="13.8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3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</row>
    <row r="1268" spans="1:31" ht="13.8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3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</row>
    <row r="1269" spans="1:31" ht="13.8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3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</row>
    <row r="1270" spans="1:31" ht="13.8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3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</row>
    <row r="1271" spans="1:31" ht="13.8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3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</row>
    <row r="1272" spans="1:31" ht="13.8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3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</row>
    <row r="1273" spans="1:31" ht="13.8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3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</row>
    <row r="1274" spans="1:31" ht="13.8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3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</row>
    <row r="1275" spans="1:31" ht="13.8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3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</row>
    <row r="1276" spans="1:31" ht="13.8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3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</row>
    <row r="1277" spans="1:31" ht="13.8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3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</row>
    <row r="1278" spans="1:31" ht="13.8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3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</row>
    <row r="1279" spans="1:31" ht="13.8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3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</row>
    <row r="1280" spans="1:31" ht="13.8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3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</row>
    <row r="1281" spans="1:31" ht="13.8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3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</row>
    <row r="1282" spans="1:31" ht="13.8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3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</row>
    <row r="1283" spans="1:31" ht="13.8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3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</row>
    <row r="1284" spans="1:31" ht="13.8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3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</row>
    <row r="1285" spans="1:31" ht="13.8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3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</row>
    <row r="1286" spans="1:31" ht="13.8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3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</row>
    <row r="1287" spans="1:31" ht="13.8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3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</row>
    <row r="1288" spans="1:31" ht="13.8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3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</row>
    <row r="1289" spans="1:31" ht="13.8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3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</row>
    <row r="1290" spans="1:31" ht="13.8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3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</row>
    <row r="1291" spans="1:31" ht="13.8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3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</row>
    <row r="1292" spans="1:31" ht="13.8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3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</row>
    <row r="1293" spans="1:31" ht="13.8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3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</row>
    <row r="1294" spans="1:31" ht="13.8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3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</row>
    <row r="1295" spans="1:31" ht="13.8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3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</row>
    <row r="1296" spans="1:31" ht="13.8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3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</row>
    <row r="1297" spans="1:31" ht="13.8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3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</row>
    <row r="1298" spans="1:31" ht="13.8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3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</row>
    <row r="1299" spans="1:31" ht="13.8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3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</row>
    <row r="1300" spans="1:31" ht="13.8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3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</row>
    <row r="1301" spans="1:31" ht="13.8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3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</row>
    <row r="1302" spans="1:31" ht="13.8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3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</row>
    <row r="1303" spans="1:31" ht="13.8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3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</row>
    <row r="1304" spans="1:31" ht="13.8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3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</row>
    <row r="1305" spans="1:31" ht="13.8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3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</row>
    <row r="1306" spans="1:31" ht="13.8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3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</row>
    <row r="1307" spans="1:31" ht="13.8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3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</row>
    <row r="1308" spans="1:31" ht="13.8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3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</row>
    <row r="1309" spans="1:31" ht="13.8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3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</row>
    <row r="1310" spans="1:31" ht="13.8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3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</row>
    <row r="1311" spans="1:31" ht="13.8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3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</row>
    <row r="1312" spans="1:31" ht="13.8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3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</row>
    <row r="1313" spans="1:31" ht="13.8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3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</row>
    <row r="1314" spans="1:31" ht="13.8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3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</row>
    <row r="1315" spans="1:31" ht="13.8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3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</row>
    <row r="1316" spans="1:31" ht="13.8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3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</row>
    <row r="1317" spans="1:31" ht="13.8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3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</row>
    <row r="1318" spans="1:31" ht="13.8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3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</row>
    <row r="1319" spans="1:31" ht="13.8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3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</row>
    <row r="1320" spans="1:31" ht="13.8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3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</row>
    <row r="1321" spans="1:31" ht="13.8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3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</row>
    <row r="1322" spans="1:31" ht="13.8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3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</row>
    <row r="1323" spans="1:31" ht="13.8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3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</row>
    <row r="1324" spans="1:31" ht="13.8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3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</row>
    <row r="1325" spans="1:31" ht="13.8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3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</row>
    <row r="1326" spans="1:31" ht="13.8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3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</row>
    <row r="1327" spans="1:31" ht="13.8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3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</row>
    <row r="1328" spans="1:31" ht="13.8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3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</row>
    <row r="1329" spans="1:31" ht="13.8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3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</row>
    <row r="1330" spans="1:31" ht="13.8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3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</row>
    <row r="1331" spans="1:31" ht="13.8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3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</row>
    <row r="1332" spans="1:31" ht="13.8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3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</row>
    <row r="1333" spans="1:31" ht="13.8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3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</row>
    <row r="1334" spans="1:31" ht="13.8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3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</row>
    <row r="1335" spans="1:31" ht="13.8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3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</row>
    <row r="1336" spans="1:31" ht="13.8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3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</row>
    <row r="1337" spans="1:31" ht="13.8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3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</row>
    <row r="1338" spans="1:31" ht="13.8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3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</row>
    <row r="1339" spans="1:31" ht="13.8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3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</row>
    <row r="1340" spans="1:31" ht="13.8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3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</row>
    <row r="1341" spans="1:31" ht="13.8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3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</row>
    <row r="1342" spans="1:31" ht="13.8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3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</row>
    <row r="1343" spans="1:31" ht="13.8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3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</row>
    <row r="1344" spans="1:31" ht="13.8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3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</row>
    <row r="1345" spans="1:31" ht="13.8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3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</row>
    <row r="1346" spans="1:31" ht="13.8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3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</row>
    <row r="1347" spans="1:31" ht="13.8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3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</row>
    <row r="1348" spans="1:31" ht="13.8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3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</row>
    <row r="1349" spans="1:31" ht="13.8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3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</row>
    <row r="1350" spans="1:31" ht="13.8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3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</row>
    <row r="1351" spans="1:31" ht="13.8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3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</row>
    <row r="1352" spans="1:31" ht="13.8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3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</row>
    <row r="1353" spans="1:31" ht="13.8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3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</row>
    <row r="1354" spans="1:31" ht="13.8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3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</row>
    <row r="1355" spans="1:31" ht="13.8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3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</row>
    <row r="1356" spans="1:31" ht="13.8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3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</row>
    <row r="1357" spans="1:31" ht="13.8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3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</row>
    <row r="1358" spans="1:31" ht="13.8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3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</row>
    <row r="1359" spans="1:31" ht="13.8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3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</row>
    <row r="1360" spans="1:31" ht="13.8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3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</row>
    <row r="1361" spans="1:31" ht="13.8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3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</row>
    <row r="1362" spans="1:31" ht="13.8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3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</row>
    <row r="1363" spans="1:31" ht="13.8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3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</row>
    <row r="1364" spans="1:31" ht="13.8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3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</row>
    <row r="1365" spans="1:31" ht="13.8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3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</row>
    <row r="1366" spans="1:31" ht="13.8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3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</row>
    <row r="1367" spans="1:31" ht="13.8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3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</row>
    <row r="1368" spans="1:31" ht="13.8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3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</row>
    <row r="1369" spans="1:31" ht="13.8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3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</row>
    <row r="1370" spans="1:31" ht="13.8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3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</row>
    <row r="1371" spans="1:31" ht="13.8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3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</row>
    <row r="1372" spans="1:31" ht="13.8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3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</row>
    <row r="1373" spans="1:31" ht="13.8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3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</row>
    <row r="1374" spans="1:31" ht="13.8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3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</row>
    <row r="1375" spans="1:31" ht="13.8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3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</row>
    <row r="1376" spans="1:31" ht="13.8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3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</row>
    <row r="1377" spans="1:31" ht="13.8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3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</row>
    <row r="1378" spans="1:31" ht="13.8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3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</row>
    <row r="1379" spans="1:31" ht="13.8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3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</row>
    <row r="1380" spans="1:31" ht="13.8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3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</row>
    <row r="1381" spans="1:31" ht="13.8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3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</row>
    <row r="1382" spans="1:31" ht="13.8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3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</row>
    <row r="1383" spans="1:31" ht="13.8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3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</row>
    <row r="1384" spans="1:31" ht="13.8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3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</row>
    <row r="1385" spans="1:31" ht="13.8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3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</row>
    <row r="1386" spans="1:31" ht="13.8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3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</row>
    <row r="1387" spans="1:31" ht="13.8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3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</row>
    <row r="1388" spans="1:31" ht="13.8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3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</row>
    <row r="1389" spans="1:31" ht="13.8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3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</row>
    <row r="1390" spans="1:31" ht="13.8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3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</row>
    <row r="1391" spans="1:31" ht="13.8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3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</row>
    <row r="1392" spans="1:31" ht="13.8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3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</row>
    <row r="1393" spans="1:31" ht="13.8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3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</row>
    <row r="1394" spans="1:31" ht="13.8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3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</row>
    <row r="1395" spans="1:31" ht="13.8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3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</row>
    <row r="1396" spans="1:31" ht="13.8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3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</row>
    <row r="1397" spans="1:31" ht="13.8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3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</row>
    <row r="1398" spans="1:31" ht="13.8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3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</row>
    <row r="1399" spans="1:31" ht="13.8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3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</row>
    <row r="1400" spans="1:31" ht="13.8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3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</row>
    <row r="1401" spans="1:31" ht="13.8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3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</row>
    <row r="1402" spans="1:31" ht="13.8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3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</row>
    <row r="1403" spans="1:31" ht="13.8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3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</row>
    <row r="1404" spans="1:31" ht="13.8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3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</row>
    <row r="1405" spans="1:31" ht="13.8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3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</row>
    <row r="1406" spans="1:31" ht="13.8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3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</row>
    <row r="1407" spans="1:31" ht="13.8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3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</row>
    <row r="1408" spans="1:31" ht="13.8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3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</row>
    <row r="1409" spans="1:31" ht="13.8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3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</row>
    <row r="1410" spans="1:31" ht="13.8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3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</row>
    <row r="1411" spans="1:31" ht="13.8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3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</row>
    <row r="1412" spans="1:31" ht="13.8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3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</row>
    <row r="1413" spans="1:31" ht="13.8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3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</row>
    <row r="1414" spans="1:31" ht="13.8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3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</row>
    <row r="1415" spans="1:31" ht="13.8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3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</row>
    <row r="1416" spans="1:31" ht="13.8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3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</row>
    <row r="1417" spans="1:31" ht="13.8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3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</row>
    <row r="1418" spans="1:31" ht="13.8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3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</row>
    <row r="1419" spans="1:31" ht="13.8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3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</row>
    <row r="1420" spans="1:31" ht="13.8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3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</row>
    <row r="1421" spans="1:31" ht="13.8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3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</row>
    <row r="1422" spans="1:31" ht="13.8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3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</row>
    <row r="1423" spans="1:31" ht="13.8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3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</row>
    <row r="1424" spans="1:31" ht="13.8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3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</row>
    <row r="1425" spans="1:31" ht="13.8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3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</row>
    <row r="1426" spans="1:31" ht="13.8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3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</row>
    <row r="1427" spans="1:31" ht="13.8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3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</row>
    <row r="1428" spans="1:31" ht="13.8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3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</row>
    <row r="1429" spans="1:31" ht="13.8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3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</row>
    <row r="1430" spans="1:31" ht="13.8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3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</row>
    <row r="1431" spans="1:31" ht="13.8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3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</row>
    <row r="1432" spans="1:31" ht="13.8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3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</row>
    <row r="1433" spans="1:31" ht="13.8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3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</row>
    <row r="1434" spans="1:31" ht="13.8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3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</row>
    <row r="1435" spans="1:31" ht="13.8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3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</row>
    <row r="1436" spans="1:31" ht="13.8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3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</row>
    <row r="1437" spans="1:31" ht="13.8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3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</row>
    <row r="1438" spans="1:31" ht="13.8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3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</row>
    <row r="1439" spans="1:31" ht="13.8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3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</row>
    <row r="1440" spans="1:31" ht="13.8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3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</row>
    <row r="1441" spans="1:31" ht="13.8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3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</row>
    <row r="1442" spans="1:31" ht="13.8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3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</row>
    <row r="1443" spans="1:31" ht="13.8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3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</row>
    <row r="1444" spans="1:31" ht="13.8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3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</row>
    <row r="1445" spans="1:31" ht="13.8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3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</row>
    <row r="1446" spans="1:31" ht="13.8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3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</row>
    <row r="1447" spans="1:31" ht="13.8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3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</row>
    <row r="1448" spans="1:31" ht="13.8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3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</row>
    <row r="1449" spans="1:31" ht="13.8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3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</row>
    <row r="1450" spans="1:31" ht="13.8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3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</row>
    <row r="1451" spans="1:31" ht="13.8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3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</row>
    <row r="1452" spans="1:31" ht="13.8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3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</row>
    <row r="1453" spans="1:31" ht="13.8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3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</row>
    <row r="1454" spans="1:31" ht="13.8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3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</row>
    <row r="1455" spans="1:31" ht="13.8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3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</row>
    <row r="1456" spans="1:31" ht="13.8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3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</row>
    <row r="1457" spans="1:31" ht="13.8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3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</row>
    <row r="1458" spans="1:31" ht="13.8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3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</row>
    <row r="1459" spans="1:31" ht="13.8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3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</row>
    <row r="1460" spans="1:31" ht="13.8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3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</row>
    <row r="1461" spans="1:31" ht="13.8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3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</row>
    <row r="1462" spans="1:31" ht="13.8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3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</row>
    <row r="1463" spans="1:31" ht="13.8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3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</row>
    <row r="1464" spans="1:31" ht="13.8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3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</row>
    <row r="1465" spans="1:31" ht="13.8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3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</row>
    <row r="1466" spans="1:31" ht="13.8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3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</row>
    <row r="1467" spans="1:31" ht="13.8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3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</row>
    <row r="1468" spans="1:31" ht="13.8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3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</row>
    <row r="1469" spans="1:31" ht="13.8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3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</row>
    <row r="1470" spans="1:31" ht="13.8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3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</row>
    <row r="1471" spans="1:31" ht="13.8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3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</row>
    <row r="1472" spans="1:31" ht="13.8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3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</row>
    <row r="1473" spans="1:31" ht="13.8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3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</row>
    <row r="1474" spans="1:31" ht="13.8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3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</row>
    <row r="1475" spans="1:31" ht="13.8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3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</row>
    <row r="1476" spans="1:31" ht="13.8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3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</row>
  </sheetData>
  <mergeCells count="14">
    <mergeCell ref="N7:P7"/>
    <mergeCell ref="A5:Q5"/>
    <mergeCell ref="A7:A8"/>
    <mergeCell ref="B7:B8"/>
    <mergeCell ref="C7:C8"/>
    <mergeCell ref="D7:D8"/>
    <mergeCell ref="E7:E8"/>
    <mergeCell ref="F7:F8"/>
    <mergeCell ref="Q7:Q8"/>
    <mergeCell ref="G7:H7"/>
    <mergeCell ref="I7:I8"/>
    <mergeCell ref="J7:K7"/>
    <mergeCell ref="L7:L8"/>
    <mergeCell ref="M7:M8"/>
  </mergeCells>
  <dataValidations count="5">
    <dataValidation type="list" allowBlank="1" showErrorMessage="1" sqref="E11:E13 E15:E17 E19:E22 E25:E31 E33:E36 E39:E43 E45:E51 E53:E60 E62:E65 E67:E73 E75:E77 E79:E111 E113:E118 E120:E127 E129:E133 E135:E139 E141:E145 E147:E149 E151:E157 E159:E182 E185:E187 E189:E201 E203:E216 E218:E403 E405:E407 E409:E429 E431:E442 E444:E452 E454:E467 E469:E481 E483:E490 E492:E508 E510:E520 E522:E527 E529:E535" xr:uid="{00000000-0002-0000-0000-000000000000}">
      <formula1>"KOMBES POL,AKBP,KOMPOL,AKP,IPTU,IPDA,PEMBINA,AIPTU,AIPDA,BRIPKA,BRIGADIR,BRIPTU,BRIPDA,PENATA TK. I,PENATA MUDA TK. I,PENGTU"</formula1>
    </dataValidation>
    <dataValidation type="custom" allowBlank="1" showDropDown="1" showErrorMessage="1" sqref="O12:P17 O21:P22 O27:P31 O34:P37 O40:P43 O46:P51 O55:P60 O63:P65 O68:P73 O76:P77 O81:P111 O114:P118 O121:P127 O130:P133 O137:P139 O143:P145 O149:P149 O152:P157 O160:P182 O186:P187 O191:P201 O204:P216 O219:P403 O406:P407 O409:P481 O484:P490 O493:P508 O511:P520 O523:P527 O530:P535" xr:uid="{00000000-0002-0000-0000-000001000000}">
      <formula1>OR(NOT(ISERROR(DATEVALUE(O12))), AND(ISNUMBER(O12), LEFT(CELL("format", O12))="D"))</formula1>
    </dataValidation>
    <dataValidation type="list" allowBlank="1" showErrorMessage="1" sqref="C11:C13 C15:C17 C19:C22 C25:C31 C33:C34 C36 C39:C43 C45:C51 C53:C60 C62:C65 C67:C73 C75:C77 C79:C111 C113:C118 C120:C127 C129:C133 C135:C139 C141:C145 C147:C149 C151:C157 C159:C182 C184:C187 C189:C201 C203:C216 C218:C403 C405:C407 C409:C429 C431:C442 C444:C452 C454:C467 C469:C481 C483:C490 C492:C508 C510:C520 C522:C527 C529:C535" xr:uid="{00000000-0002-0000-0000-000002000000}">
      <formula1>"KPA,PPK,PP,POKJA"</formula1>
    </dataValidation>
    <dataValidation type="list" allowBlank="1" showErrorMessage="1" sqref="L350:L352" xr:uid="{00000000-0002-0000-0000-000003000000}">
      <formula1>"E-PURCHASING,PENGADAAN LANGSUNG,SELEKSI"</formula1>
    </dataValidation>
    <dataValidation type="list" allowBlank="1" showErrorMessage="1" sqref="L12:L13 L16:L17 L21:L22 L27:L31 L34:L37 L40:L43 L46:L51 L55:L60 L63:L65 L68:L73 L76:L77 L81:L111 L114:L118 L121:L127 L130:L133 L137:L139 L143:L145 L149 L152:L157 L160:L176 L178:L182 L186:L187 L191:L201 L204:L216 L219:L349 L353:L403 L406:L407 L409:L429 L432:L442 L445:L452 L455:L467 L470:L481 L484:L490 L493:L508 L511:L520 L523:L527 L530:L535" xr:uid="{00000000-0002-0000-0000-000004000000}">
      <formula1>"SWAKELOLA,E-PURCHASING,PENGADAAN LANGSUNG,SELEKSI,TENDER CEPAT,TENDER,PENUNJUKAN LANGSUNG,NON TENDER"</formula1>
    </dataValidation>
  </dataValidations>
  <hyperlinks>
    <hyperlink ref="D218" r:id="rId1" xr:uid="{00000000-0004-0000-0000-000000000000}"/>
    <hyperlink ref="D530" r:id="rId2" xr:uid="{00000000-0004-0000-0000-000001000000}"/>
    <hyperlink ref="D531" r:id="rId3" xr:uid="{00000000-0004-0000-0000-000002000000}"/>
    <hyperlink ref="D532" r:id="rId4" xr:uid="{00000000-0004-0000-0000-000003000000}"/>
    <hyperlink ref="D533" r:id="rId5" xr:uid="{00000000-0004-0000-0000-000004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zul fikri</cp:lastModifiedBy>
  <dcterms:modified xsi:type="dcterms:W3CDTF">2026-06-14T07:14:18Z</dcterms:modified>
</cp:coreProperties>
</file>